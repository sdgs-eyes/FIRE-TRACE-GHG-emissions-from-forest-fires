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ndazionecmcc-my.sharepoint.com/personal/chiara_aquino_cmcc_it/Documents/Projects/SDG-Eyes/Pilot1/Data/"/>
    </mc:Choice>
  </mc:AlternateContent>
  <xr:revisionPtr revIDLastSave="9" documentId="13_ncr:1_{EA4937C7-8EF5-4F10-A6D3-AD1E457E8E5F}" xr6:coauthVersionLast="47" xr6:coauthVersionMax="47" xr10:uidLastSave="{2949E607-DC41-4749-A3F2-26D2FCB74A11}"/>
  <bookViews>
    <workbookView xWindow="-103" yWindow="-103" windowWidth="16663" windowHeight="8743" xr2:uid="{00000000-000D-0000-FFFF-FFFF00000000}"/>
  </bookViews>
  <sheets>
    <sheet name="Summary" sheetId="13" r:id="rId1"/>
    <sheet name="avg_effis_classes" sheetId="12" r:id="rId2"/>
    <sheet name="2015_1di6" sheetId="1" r:id="rId3"/>
    <sheet name="2015_2di6" sheetId="11" r:id="rId4"/>
    <sheet name="2015_3di6" sheetId="10" r:id="rId5"/>
    <sheet name="2015_4di6" sheetId="9" r:id="rId6"/>
    <sheet name="2015_5di6" sheetId="8" r:id="rId7"/>
    <sheet name="2015_6di6" sheetId="7" r:id="rId8"/>
  </sheets>
  <definedNames>
    <definedName name="_xlnm.Print_Area" localSheetId="2">'2015_1di6'!$A$1:$M$31</definedName>
    <definedName name="_xlnm.Print_Area" localSheetId="3">'2015_2di6'!$A$1:$M$31</definedName>
    <definedName name="_xlnm.Print_Area" localSheetId="4">'2015_3di6'!$A$1:$M$31</definedName>
    <definedName name="_xlnm.Print_Area" localSheetId="5">'2015_4di6'!$A$1:$M$31</definedName>
    <definedName name="_xlnm.Print_Area" localSheetId="6">'2015_5di6'!$A$1:$M$31</definedName>
    <definedName name="_xlnm.Print_Area" localSheetId="7">'2015_6di6'!$A$1:$Q$31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5" i="12" l="1"/>
  <c r="C12" i="12"/>
  <c r="H26" i="12"/>
  <c r="G2" i="12" l="1"/>
  <c r="H27" i="12"/>
  <c r="B27" i="12"/>
  <c r="L27" i="12"/>
  <c r="T8" i="12"/>
  <c r="T10" i="12"/>
  <c r="T11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S2" i="12"/>
  <c r="C26" i="12"/>
  <c r="E26" i="12"/>
  <c r="G26" i="12"/>
  <c r="M26" i="12"/>
  <c r="N26" i="12"/>
  <c r="O26" i="12"/>
  <c r="Q26" i="12"/>
  <c r="R26" i="12"/>
  <c r="S26" i="12"/>
  <c r="V26" i="12"/>
  <c r="C27" i="12"/>
  <c r="D27" i="12"/>
  <c r="E27" i="12"/>
  <c r="F27" i="12"/>
  <c r="G27" i="12"/>
  <c r="I27" i="12"/>
  <c r="J27" i="12"/>
  <c r="K27" i="12"/>
  <c r="M27" i="12"/>
  <c r="N27" i="12"/>
  <c r="O27" i="12"/>
  <c r="Q27" i="12"/>
  <c r="R27" i="12"/>
  <c r="S27" i="12"/>
  <c r="V27" i="12"/>
  <c r="A27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6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4" i="12"/>
  <c r="S5" i="12"/>
  <c r="S8" i="12"/>
  <c r="S15" i="12"/>
  <c r="S18" i="12"/>
  <c r="S19" i="12"/>
  <c r="S21" i="12"/>
  <c r="S22" i="12"/>
  <c r="S23" i="12"/>
  <c r="S24" i="12"/>
  <c r="S25" i="12"/>
  <c r="S4" i="12"/>
  <c r="R5" i="12"/>
  <c r="R15" i="12"/>
  <c r="R18" i="12"/>
  <c r="R21" i="12"/>
  <c r="R24" i="12"/>
  <c r="R25" i="12"/>
  <c r="R4" i="12"/>
  <c r="Q5" i="12"/>
  <c r="Q10" i="12"/>
  <c r="Q11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4" i="12"/>
  <c r="O5" i="12"/>
  <c r="O6" i="12"/>
  <c r="O8" i="12"/>
  <c r="O12" i="12"/>
  <c r="O13" i="12"/>
  <c r="O14" i="12"/>
  <c r="O15" i="12"/>
  <c r="O16" i="12"/>
  <c r="O17" i="12"/>
  <c r="O18" i="12"/>
  <c r="O19" i="12"/>
  <c r="O21" i="12"/>
  <c r="O22" i="12"/>
  <c r="O23" i="12"/>
  <c r="O24" i="12"/>
  <c r="O25" i="12"/>
  <c r="O4" i="12"/>
  <c r="N5" i="12"/>
  <c r="N6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9" i="12"/>
  <c r="L4" i="12"/>
  <c r="K5" i="12"/>
  <c r="K6" i="12"/>
  <c r="K7" i="12"/>
  <c r="K8" i="12"/>
  <c r="P8" i="12" s="1"/>
  <c r="K9" i="12"/>
  <c r="K10" i="12"/>
  <c r="K11" i="12"/>
  <c r="P11" i="12" s="1"/>
  <c r="K12" i="12"/>
  <c r="K13" i="12"/>
  <c r="K14" i="12"/>
  <c r="K15" i="12"/>
  <c r="P16" i="12"/>
  <c r="K19" i="12"/>
  <c r="P19" i="12" s="1"/>
  <c r="K20" i="12"/>
  <c r="K23" i="12"/>
  <c r="K24" i="12"/>
  <c r="K4" i="12"/>
  <c r="J5" i="12"/>
  <c r="J6" i="12"/>
  <c r="J7" i="12"/>
  <c r="J8" i="12"/>
  <c r="J9" i="12"/>
  <c r="J10" i="12"/>
  <c r="J11" i="12"/>
  <c r="J12" i="12"/>
  <c r="J13" i="12"/>
  <c r="P13" i="12" s="1"/>
  <c r="J14" i="12"/>
  <c r="J15" i="12"/>
  <c r="J17" i="12"/>
  <c r="J18" i="12"/>
  <c r="J19" i="12"/>
  <c r="P21" i="12"/>
  <c r="J4" i="12"/>
  <c r="I5" i="12"/>
  <c r="I6" i="12"/>
  <c r="P6" i="12" s="1"/>
  <c r="I7" i="12"/>
  <c r="P7" i="12" s="1"/>
  <c r="I8" i="12"/>
  <c r="I9" i="12"/>
  <c r="P9" i="12" s="1"/>
  <c r="I10" i="12"/>
  <c r="P10" i="12" s="1"/>
  <c r="I11" i="12"/>
  <c r="I12" i="12"/>
  <c r="P12" i="12" s="1"/>
  <c r="I13" i="12"/>
  <c r="P14" i="12"/>
  <c r="P15" i="12"/>
  <c r="P17" i="12"/>
  <c r="P20" i="12"/>
  <c r="I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4" i="12"/>
  <c r="F5" i="12"/>
  <c r="F6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4" i="12"/>
  <c r="D5" i="12"/>
  <c r="D6" i="12"/>
  <c r="D8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4" i="12"/>
  <c r="D3" i="12"/>
  <c r="C5" i="12"/>
  <c r="C6" i="12"/>
  <c r="C7" i="12"/>
  <c r="C8" i="12"/>
  <c r="C9" i="12"/>
  <c r="C10" i="12"/>
  <c r="C11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4" i="12"/>
  <c r="B5" i="12"/>
  <c r="B6" i="12"/>
  <c r="B7" i="12"/>
  <c r="B8" i="12"/>
  <c r="B9" i="12"/>
  <c r="B10" i="12"/>
  <c r="H10" i="12" s="1"/>
  <c r="B11" i="12"/>
  <c r="B12" i="12"/>
  <c r="H12" i="12" s="1"/>
  <c r="B13" i="12"/>
  <c r="B14" i="12"/>
  <c r="B15" i="12"/>
  <c r="B16" i="12"/>
  <c r="B17" i="12"/>
  <c r="B18" i="12"/>
  <c r="H18" i="12" s="1"/>
  <c r="B19" i="12"/>
  <c r="B20" i="12"/>
  <c r="H20" i="12" s="1"/>
  <c r="B21" i="12"/>
  <c r="B22" i="12"/>
  <c r="B23" i="12"/>
  <c r="B24" i="12"/>
  <c r="B25" i="12"/>
  <c r="B4" i="12"/>
  <c r="V2" i="12"/>
  <c r="V3" i="12"/>
  <c r="Q3" i="12"/>
  <c r="R3" i="12"/>
  <c r="S3" i="12"/>
  <c r="R2" i="12"/>
  <c r="Q2" i="12"/>
  <c r="O3" i="12"/>
  <c r="O2" i="12"/>
  <c r="I3" i="12"/>
  <c r="J3" i="12"/>
  <c r="K3" i="12"/>
  <c r="L3" i="12"/>
  <c r="M3" i="12"/>
  <c r="N3" i="12"/>
  <c r="N2" i="12"/>
  <c r="M2" i="12"/>
  <c r="K2" i="12"/>
  <c r="L2" i="12"/>
  <c r="J2" i="12"/>
  <c r="I2" i="12"/>
  <c r="C3" i="12"/>
  <c r="E3" i="12"/>
  <c r="F3" i="12"/>
  <c r="G3" i="12"/>
  <c r="F2" i="12"/>
  <c r="E2" i="12"/>
  <c r="C2" i="12"/>
  <c r="D2" i="12"/>
  <c r="B3" i="12"/>
  <c r="B2" i="12"/>
  <c r="P25" i="12" l="1"/>
  <c r="P22" i="12"/>
  <c r="P24" i="12"/>
  <c r="P26" i="12"/>
  <c r="P23" i="12"/>
  <c r="P18" i="12"/>
  <c r="P27" i="12"/>
  <c r="H9" i="12"/>
  <c r="H24" i="12"/>
  <c r="H16" i="12"/>
  <c r="H8" i="12"/>
  <c r="H25" i="12"/>
  <c r="H17" i="12"/>
  <c r="H7" i="12"/>
  <c r="H22" i="12"/>
  <c r="H14" i="12"/>
  <c r="H6" i="12"/>
  <c r="H23" i="12"/>
  <c r="H15" i="12"/>
  <c r="H21" i="12"/>
  <c r="H13" i="12"/>
  <c r="H19" i="12"/>
  <c r="H11" i="12"/>
</calcChain>
</file>

<file path=xl/sharedStrings.xml><?xml version="1.0" encoding="utf-8"?>
<sst xmlns="http://schemas.openxmlformats.org/spreadsheetml/2006/main" count="909" uniqueCount="93">
  <si>
    <t>Boschi di larice e cembro</t>
  </si>
  <si>
    <t>Boschi di abete rosso</t>
  </si>
  <si>
    <t>Boschi di abete bianco</t>
  </si>
  <si>
    <t>Corg</t>
  </si>
  <si>
    <t>ES</t>
  </si>
  <si>
    <t>(Mg)</t>
  </si>
  <si>
    <t>(%)</t>
  </si>
  <si>
    <r>
      <t>(Mg ha</t>
    </r>
    <r>
      <rPr>
        <vertAlign val="superscript"/>
        <sz val="10"/>
        <rFont val="Arial"/>
        <family val="2"/>
      </rPr>
      <t>-1</t>
    </r>
    <r>
      <rPr>
        <sz val="10"/>
        <rFont val="Arial"/>
        <family val="2"/>
      </rPr>
      <t>)</t>
    </r>
  </si>
  <si>
    <t>Piemonte</t>
  </si>
  <si>
    <t>-</t>
  </si>
  <si>
    <t>Valle d'Aosta</t>
  </si>
  <si>
    <t>Lombardia</t>
  </si>
  <si>
    <t>Alto Adige</t>
  </si>
  <si>
    <t>Trentino</t>
  </si>
  <si>
    <t>Veneto</t>
  </si>
  <si>
    <t>Friuli V.G.</t>
  </si>
  <si>
    <t>Liguria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</si>
  <si>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</si>
  <si>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</si>
  <si>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</si>
  <si>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</si>
  <si>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</si>
  <si>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</si>
  <si>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</si>
  <si>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</si>
  <si>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</si>
  <si>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</si>
  <si>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</si>
  <si>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</si>
  <si>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</si>
  <si>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Italia</t>
  </si>
  <si>
    <t>Pinete di pino silvestre e montano</t>
  </si>
  <si>
    <t>Pinete di pino nero, laricio e loricato</t>
  </si>
  <si>
    <t>Pinete di pini mediterranei</t>
  </si>
  <si>
    <t>Altri boschi di conifere, pure o miste</t>
  </si>
  <si>
    <t>Faggete</t>
  </si>
  <si>
    <t>Querceti di rovere, roverella e farnia</t>
  </si>
  <si>
    <t>Cerrete, boschi di farnetto, fragno e vallonea</t>
  </si>
  <si>
    <t>Castagneti</t>
  </si>
  <si>
    <t>Ostrieti, carpineti</t>
  </si>
  <si>
    <t>Boschi igrofili</t>
  </si>
  <si>
    <t>Altri boschi caducifogli</t>
  </si>
  <si>
    <t>Leccete</t>
  </si>
  <si>
    <t>Sugherete</t>
  </si>
  <si>
    <t>Altri boschi di latifoglie sempreverdi</t>
  </si>
  <si>
    <t>Larch and Stone pine</t>
  </si>
  <si>
    <t>Norway spruce</t>
  </si>
  <si>
    <t>Fir</t>
  </si>
  <si>
    <t>Region / Regione</t>
  </si>
  <si>
    <t>Tab. 1.13.2 - Total value and value per hectare of carbon stock in the aboveground tree biomass by Tall trees forest type (part 1 of 6) / Valori totali e per ettaro di carbonio nella fitomassa arborea epigea per le categorie forestali dei Boschi alti (parte 1 di 6).</t>
  </si>
  <si>
    <t>Tab. 1.13.2 - Total value and value per hectare of carbon stock in the aboveground tree biomass by Tall trees forest type (part 2 of 6) / Valori totali e per ettaro di carbonio nella fitomassa arborea epigea per le categorie forestali dei Boschi alti (parte 2 di 6).</t>
  </si>
  <si>
    <t>Tab. 1.13.2 - Total value and value per hectare of carbon stock in the aboveground tree biomass by Tall trees forest type (part 3 of 6) / Valori totali e per ettaro di carbonio nella fitomassa arborea epigea per le categorie forestali dei Boschi alti (parte 3 di 6).</t>
  </si>
  <si>
    <t>Tab. 1.13.2 - Total value and value per hectare of carbon stock in the aboveground tree biomass by Tall trees forest type (part 4 of 6) / Valori totali e per ettaro di carbonio nella fitomassa arborea epigea per le categorie forestali dei Boschi alti (parte 4 di 6).</t>
  </si>
  <si>
    <t>Tab. 1.13.2 - Total value and value per hectare of carbon stock in the aboveground tree biomass by Tall trees forest type (part 5 of 6) / Valori totali e per ettaro di carbonio nella fitomassa arborea epigea per le categorie forestali dei Boschi alti (parte 5 di 6).</t>
  </si>
  <si>
    <t>Tab. 1.13.2 - Total value and value per hectare of carbon stock in the aboveground tree biomass by Tall trees forest type (part 6 of 6) / Valori totali e per ettaro di carbonio nella fitomassa arborea epigea per le categorie forestali dei Boschi alti (parte 6 di 6).</t>
  </si>
  <si>
    <t>Scots pine and Mountain pine</t>
  </si>
  <si>
    <t>Black pines</t>
  </si>
  <si>
    <t>Mediterranean pines</t>
  </si>
  <si>
    <t>Other coniferous forests</t>
  </si>
  <si>
    <t>Beech</t>
  </si>
  <si>
    <t>Temperate oaks</t>
  </si>
  <si>
    <t>Mediterranean oaks</t>
  </si>
  <si>
    <t>Chestnut</t>
  </si>
  <si>
    <t>Hornbeam and Hophornbeam</t>
  </si>
  <si>
    <t>Hygrophilous forests</t>
  </si>
  <si>
    <t>Other deciduous broadleaved forests</t>
  </si>
  <si>
    <t>Holm oak</t>
  </si>
  <si>
    <t>Totale Boschi alti</t>
  </si>
  <si>
    <t>Non classificato</t>
  </si>
  <si>
    <t>Cork oak</t>
  </si>
  <si>
    <t>Other evergreen broadleaved forests</t>
  </si>
  <si>
    <t>Not classified</t>
  </si>
  <si>
    <t>Total Tall trees forest</t>
  </si>
  <si>
    <t>Forest types, carbon stock in the aboveground tree biomass</t>
  </si>
  <si>
    <t>Categorie forestali, carbonio nella fitomassa arborea epigea</t>
  </si>
  <si>
    <t>broadleave</t>
  </si>
  <si>
    <t>coniferous</t>
  </si>
  <si>
    <t>sclerophil</t>
  </si>
  <si>
    <t>mixed_fore</t>
  </si>
  <si>
    <t>other_natu</t>
  </si>
  <si>
    <t>agricultur</t>
  </si>
  <si>
    <t>artificial</t>
  </si>
  <si>
    <t>other_perc</t>
  </si>
  <si>
    <t>Region</t>
  </si>
  <si>
    <t>(Mg ha-1)</t>
  </si>
  <si>
    <t>avg_broadleave</t>
  </si>
  <si>
    <t>avg_coniferous</t>
  </si>
  <si>
    <t>avg_sclerophil</t>
  </si>
  <si>
    <t>avg_transition</t>
  </si>
  <si>
    <t>BROADLEA</t>
  </si>
  <si>
    <t>CONIFER</t>
  </si>
  <si>
    <t>SCLEROPH</t>
  </si>
  <si>
    <t>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</si>
</sst>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0"/>
      <name val="Arial"/>
    </font>
    <font>
      <vertAlign val="superscript"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ashed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5" fontId="0" fillId="0" borderId="0" xfId="0" applyNumberFormat="1"/>
    <xf numFmtId="165" fontId="0" fillId="0" borderId="28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64" fontId="0" fillId="0" borderId="16" xfId="0" quotePrefix="1" applyNumberFormat="1" applyBorder="1" applyAlignment="1">
      <alignment horizontal="center" vertical="center"/>
    </xf>
    <xf numFmtId="164" fontId="0" fillId="0" borderId="18" xfId="0" quotePrefix="1" applyNumberFormat="1" applyBorder="1" applyAlignment="1">
      <alignment horizontal="center" vertical="center"/>
    </xf>
    <xf numFmtId="164" fontId="0" fillId="0" borderId="19" xfId="0" quotePrefix="1" applyNumberFormat="1" applyBorder="1" applyAlignment="1">
      <alignment horizontal="center" vertical="center"/>
    </xf>
    <xf numFmtId="164" fontId="0" fillId="0" borderId="29" xfId="0" quotePrefix="1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4" fontId="0" fillId="0" borderId="31" xfId="0" quotePrefix="1" applyNumberFormat="1" applyBorder="1" applyAlignment="1">
      <alignment horizontal="center" vertical="center"/>
    </xf>
    <xf numFmtId="164" fontId="0" fillId="0" borderId="32" xfId="0" quotePrefix="1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7" xfId="0" quotePrefix="1" applyNumberFormat="1" applyBorder="1" applyAlignment="1">
      <alignment horizontal="center" vertical="center"/>
    </xf>
    <xf numFmtId="164" fontId="0" fillId="0" borderId="30" xfId="0" quotePrefix="1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3" fontId="0" fillId="0" borderId="17" xfId="0" quotePrefix="1" applyNumberFormat="1" applyBorder="1" applyAlignment="1">
      <alignment horizontal="center" vertical="center"/>
    </xf>
    <xf numFmtId="3" fontId="0" fillId="0" borderId="30" xfId="0" quotePrefix="1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4" fillId="0" borderId="0" xfId="0" applyFont="1"/>
    <xf numFmtId="3" fontId="4" fillId="0" borderId="0" xfId="0" applyNumberFormat="1" applyFont="1"/>
    <xf numFmtId="165" fontId="4" fillId="0" borderId="0" xfId="0" applyNumberFormat="1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37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518A-236F-4D9C-AA0E-69095861C01C}">
  <dimension ref="A1:E27"/>
  <sheetViews>
    <sheetView tabSelected="1" workbookViewId="0">
      <selection activeCell="D10" sqref="D10"/>
    </sheetView>
  </sheetViews>
  <sheetFormatPr defaultRowHeight="12.45" x14ac:dyDescent="0.3"/>
  <cols>
    <col min="2" max="2" width="13.07421875" customWidth="1"/>
    <col min="3" max="3" width="13.23046875" customWidth="1"/>
    <col min="4" max="4" width="12.84375" customWidth="1"/>
  </cols>
  <sheetData>
    <row r="1" spans="1:5" x14ac:dyDescent="0.3">
      <c r="A1" t="s">
        <v>83</v>
      </c>
      <c r="B1" t="s">
        <v>89</v>
      </c>
      <c r="C1" t="s">
        <v>90</v>
      </c>
      <c r="D1" t="s">
        <v>91</v>
      </c>
      <c r="E1" t="s">
        <v>92</v>
      </c>
    </row>
    <row r="2" spans="1:5" x14ac:dyDescent="0.3">
      <c r="A2" t="s">
        <v>83</v>
      </c>
      <c r="E2" t="s">
        <v>64</v>
      </c>
    </row>
    <row r="3" spans="1:5" x14ac:dyDescent="0.3">
      <c r="E3" t="s">
        <v>40</v>
      </c>
    </row>
    <row r="4" spans="1:5" x14ac:dyDescent="0.3">
      <c r="B4" t="s">
        <v>3</v>
      </c>
      <c r="C4" t="s">
        <v>3</v>
      </c>
      <c r="D4" t="s">
        <v>3</v>
      </c>
      <c r="E4" t="s">
        <v>3</v>
      </c>
    </row>
    <row r="5" spans="1:5" x14ac:dyDescent="0.3">
      <c r="B5" t="s">
        <v>84</v>
      </c>
      <c r="C5" t="s">
        <v>84</v>
      </c>
      <c r="D5" t="s">
        <v>84</v>
      </c>
      <c r="E5" t="s">
        <v>84</v>
      </c>
    </row>
    <row r="6" spans="1:5" x14ac:dyDescent="0.3">
      <c r="A6" t="s">
        <v>8</v>
      </c>
      <c r="B6">
        <v>59.316666666666599</v>
      </c>
      <c r="C6">
        <v>65.328571428571394</v>
      </c>
      <c r="E6">
        <v>40.700000000000003</v>
      </c>
    </row>
    <row r="7" spans="1:5" x14ac:dyDescent="0.3">
      <c r="A7" t="s">
        <v>10</v>
      </c>
      <c r="B7">
        <v>63.25</v>
      </c>
      <c r="C7">
        <v>62.96</v>
      </c>
      <c r="E7">
        <v>0</v>
      </c>
    </row>
    <row r="8" spans="1:5" x14ac:dyDescent="0.3">
      <c r="A8" t="s">
        <v>11</v>
      </c>
      <c r="B8">
        <v>64.366666666666603</v>
      </c>
      <c r="C8">
        <v>83.783333333333303</v>
      </c>
      <c r="D8">
        <v>25.5</v>
      </c>
      <c r="E8">
        <v>41.6</v>
      </c>
    </row>
    <row r="9" spans="1:5" x14ac:dyDescent="0.3">
      <c r="A9" t="s">
        <v>12</v>
      </c>
      <c r="B9">
        <v>64.84</v>
      </c>
      <c r="C9">
        <v>78.459999999999994</v>
      </c>
      <c r="E9">
        <v>48.7</v>
      </c>
    </row>
    <row r="10" spans="1:5" x14ac:dyDescent="0.3">
      <c r="A10" t="s">
        <v>13</v>
      </c>
      <c r="B10">
        <v>65.5</v>
      </c>
      <c r="C10">
        <v>89.5</v>
      </c>
      <c r="D10">
        <v>12.9</v>
      </c>
      <c r="E10">
        <v>67.2</v>
      </c>
    </row>
    <row r="11" spans="1:5" x14ac:dyDescent="0.3">
      <c r="A11" t="s">
        <v>14</v>
      </c>
      <c r="B11">
        <v>62.84</v>
      </c>
      <c r="C11">
        <v>84.15</v>
      </c>
      <c r="D11">
        <v>65.7</v>
      </c>
      <c r="E11">
        <v>28.6</v>
      </c>
    </row>
    <row r="12" spans="1:5" x14ac:dyDescent="0.3">
      <c r="A12" t="s">
        <v>15</v>
      </c>
      <c r="B12">
        <v>73.16</v>
      </c>
      <c r="C12">
        <v>83.314285714285703</v>
      </c>
      <c r="E12">
        <v>20.3</v>
      </c>
    </row>
    <row r="13" spans="1:5" x14ac:dyDescent="0.3">
      <c r="A13" t="s">
        <v>16</v>
      </c>
      <c r="B13">
        <v>56.8333333333333</v>
      </c>
      <c r="C13">
        <v>75.771428571428501</v>
      </c>
      <c r="D13">
        <v>41.5</v>
      </c>
      <c r="E13">
        <v>62.6</v>
      </c>
    </row>
    <row r="14" spans="1:5" x14ac:dyDescent="0.3">
      <c r="A14" t="s">
        <v>17</v>
      </c>
      <c r="B14">
        <v>53.466666666666598</v>
      </c>
      <c r="C14">
        <v>96.149999999999906</v>
      </c>
      <c r="D14">
        <v>74.400000000000006</v>
      </c>
      <c r="E14">
        <v>28.6</v>
      </c>
    </row>
    <row r="15" spans="1:5" x14ac:dyDescent="0.3">
      <c r="A15" t="s">
        <v>18</v>
      </c>
      <c r="B15">
        <v>59.366666666666603</v>
      </c>
      <c r="C15">
        <v>123.516666666666</v>
      </c>
      <c r="D15">
        <v>35.199999999999903</v>
      </c>
      <c r="E15">
        <v>46.4</v>
      </c>
    </row>
    <row r="16" spans="1:5" x14ac:dyDescent="0.3">
      <c r="A16" t="s">
        <v>19</v>
      </c>
      <c r="B16">
        <v>41.1666666666666</v>
      </c>
      <c r="C16">
        <v>63.324999999999903</v>
      </c>
      <c r="D16">
        <v>52.8</v>
      </c>
      <c r="E16">
        <v>54.2</v>
      </c>
    </row>
    <row r="17" spans="1:5" x14ac:dyDescent="0.3">
      <c r="A17" t="s">
        <v>20</v>
      </c>
      <c r="B17">
        <v>50.683333333333302</v>
      </c>
      <c r="C17">
        <v>46.85</v>
      </c>
      <c r="D17">
        <v>52.8</v>
      </c>
      <c r="E17">
        <v>52.1</v>
      </c>
    </row>
    <row r="18" spans="1:5" x14ac:dyDescent="0.3">
      <c r="A18" t="s">
        <v>21</v>
      </c>
      <c r="B18">
        <v>53.933333333333302</v>
      </c>
      <c r="C18">
        <v>118.125</v>
      </c>
      <c r="D18">
        <v>32.1</v>
      </c>
      <c r="E18">
        <v>33.1</v>
      </c>
    </row>
    <row r="19" spans="1:5" x14ac:dyDescent="0.3">
      <c r="A19" t="s">
        <v>22</v>
      </c>
      <c r="B19">
        <v>56.5</v>
      </c>
      <c r="C19">
        <v>79.733333333333306</v>
      </c>
      <c r="D19">
        <v>30.9</v>
      </c>
      <c r="E19">
        <v>34.299999999999997</v>
      </c>
    </row>
    <row r="20" spans="1:5" x14ac:dyDescent="0.3">
      <c r="A20" t="s">
        <v>23</v>
      </c>
      <c r="B20">
        <v>63.049999999999898</v>
      </c>
      <c r="C20">
        <v>58.433333333333302</v>
      </c>
      <c r="D20">
        <v>14.4</v>
      </c>
      <c r="E20">
        <v>21.3</v>
      </c>
    </row>
    <row r="21" spans="1:5" x14ac:dyDescent="0.3">
      <c r="A21" t="s">
        <v>24</v>
      </c>
      <c r="B21">
        <v>56.366666666666603</v>
      </c>
      <c r="C21">
        <v>48.866666666666603</v>
      </c>
      <c r="D21">
        <v>40.866666666666603</v>
      </c>
      <c r="E21">
        <v>45.1</v>
      </c>
    </row>
    <row r="22" spans="1:5" x14ac:dyDescent="0.3">
      <c r="A22" t="s">
        <v>25</v>
      </c>
      <c r="B22">
        <v>67.05</v>
      </c>
      <c r="C22">
        <v>69.399999999999906</v>
      </c>
      <c r="D22">
        <v>30.75</v>
      </c>
      <c r="E22">
        <v>37.6</v>
      </c>
    </row>
    <row r="23" spans="1:5" x14ac:dyDescent="0.3">
      <c r="A23" t="s">
        <v>26</v>
      </c>
      <c r="B23">
        <v>57.116666666666603</v>
      </c>
      <c r="C23">
        <v>61.974999999999902</v>
      </c>
      <c r="D23">
        <v>31.1</v>
      </c>
      <c r="E23">
        <v>18.100000000000001</v>
      </c>
    </row>
    <row r="24" spans="1:5" x14ac:dyDescent="0.3">
      <c r="A24" t="s">
        <v>27</v>
      </c>
      <c r="B24">
        <v>62.683333333333302</v>
      </c>
      <c r="C24">
        <v>86.15</v>
      </c>
      <c r="D24">
        <v>56.299999999999898</v>
      </c>
      <c r="E24">
        <v>37.200000000000003</v>
      </c>
    </row>
    <row r="25" spans="1:5" x14ac:dyDescent="0.3">
      <c r="A25" t="s">
        <v>28</v>
      </c>
      <c r="B25">
        <v>41.699999999999903</v>
      </c>
      <c r="C25">
        <v>39.966666666666598</v>
      </c>
      <c r="D25">
        <v>34.466666666666598</v>
      </c>
      <c r="E25">
        <v>17.100000000000001</v>
      </c>
    </row>
    <row r="26" spans="1:5" x14ac:dyDescent="0.3">
      <c r="A26" t="s">
        <v>29</v>
      </c>
      <c r="B26">
        <v>23.566666666666599</v>
      </c>
      <c r="C26">
        <v>36.3333333333333</v>
      </c>
      <c r="D26">
        <v>25.1666666666666</v>
      </c>
      <c r="E26">
        <v>20.7</v>
      </c>
    </row>
    <row r="27" spans="1:5" x14ac:dyDescent="0.3">
      <c r="A27" t="s">
        <v>30</v>
      </c>
      <c r="B27">
        <v>55.866666666666603</v>
      </c>
      <c r="C27">
        <v>78.557142857142793</v>
      </c>
      <c r="D27">
        <v>30.2</v>
      </c>
      <c r="E27">
        <v>36.700000000000003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5EC3-BBC7-4E3F-8214-ECB88FA2DB07}">
  <dimension ref="A1:Z29"/>
  <sheetViews>
    <sheetView zoomScale="80" zoomScaleNormal="80" workbookViewId="0">
      <selection activeCell="G21" sqref="G21"/>
    </sheetView>
  </sheetViews>
  <sheetFormatPr defaultRowHeight="12.45" x14ac:dyDescent="0.3"/>
  <cols>
    <col min="1" max="1" width="20.69140625" style="61" customWidth="1"/>
    <col min="2" max="2" width="12.23046875" customWidth="1"/>
    <col min="3" max="3" width="12.3828125" customWidth="1"/>
    <col min="4" max="4" width="14.69140625" customWidth="1"/>
    <col min="5" max="5" width="13.23046875" customWidth="1"/>
    <col min="6" max="6" width="24.3828125" bestFit="1" customWidth="1"/>
    <col min="7" max="7" width="17.23046875" customWidth="1"/>
    <col min="8" max="8" width="17.23046875" style="61" customWidth="1"/>
    <col min="9" max="9" width="12.23046875" customWidth="1"/>
    <col min="10" max="10" width="16.84375" customWidth="1"/>
    <col min="11" max="11" width="14.23046875" customWidth="1"/>
    <col min="12" max="12" width="24.3828125" customWidth="1"/>
    <col min="13" max="13" width="15.4609375" customWidth="1"/>
    <col min="14" max="15" width="24.3828125" customWidth="1"/>
    <col min="16" max="16" width="24.3828125" style="61" customWidth="1"/>
    <col min="17" max="19" width="24.3828125" customWidth="1"/>
    <col min="20" max="20" width="24.3828125" style="61" customWidth="1"/>
    <col min="21" max="21" width="9.61328125" bestFit="1" customWidth="1"/>
    <col min="22" max="22" width="17.23046875" style="61" bestFit="1" customWidth="1"/>
  </cols>
  <sheetData>
    <row r="1" spans="1:26" ht="12.9" thickBot="1" x14ac:dyDescent="0.35">
      <c r="A1" s="63" t="s">
        <v>83</v>
      </c>
      <c r="B1" t="s">
        <v>75</v>
      </c>
      <c r="C1" t="s">
        <v>75</v>
      </c>
      <c r="D1" t="s">
        <v>75</v>
      </c>
      <c r="E1" t="s">
        <v>75</v>
      </c>
      <c r="F1" t="s">
        <v>75</v>
      </c>
      <c r="G1" t="s">
        <v>75</v>
      </c>
      <c r="H1" s="62" t="s">
        <v>85</v>
      </c>
      <c r="I1" t="s">
        <v>76</v>
      </c>
      <c r="J1" t="s">
        <v>76</v>
      </c>
      <c r="K1" t="s">
        <v>76</v>
      </c>
      <c r="L1" t="s">
        <v>76</v>
      </c>
      <c r="M1" t="s">
        <v>76</v>
      </c>
      <c r="N1" t="s">
        <v>76</v>
      </c>
      <c r="O1" t="s">
        <v>76</v>
      </c>
      <c r="P1" s="62" t="s">
        <v>86</v>
      </c>
      <c r="Q1" t="s">
        <v>77</v>
      </c>
      <c r="R1" t="s">
        <v>77</v>
      </c>
      <c r="S1" t="s">
        <v>77</v>
      </c>
      <c r="T1" s="62" t="s">
        <v>87</v>
      </c>
      <c r="U1" t="s">
        <v>78</v>
      </c>
      <c r="V1" s="62" t="s">
        <v>88</v>
      </c>
      <c r="W1" t="s">
        <v>79</v>
      </c>
      <c r="X1" t="s">
        <v>80</v>
      </c>
      <c r="Y1" t="s">
        <v>81</v>
      </c>
      <c r="Z1" t="s">
        <v>82</v>
      </c>
    </row>
    <row r="2" spans="1:26" ht="12.9" thickBot="1" x14ac:dyDescent="0.35">
      <c r="A2" s="63" t="s">
        <v>83</v>
      </c>
      <c r="B2" t="str">
        <f>+'2015_3di6'!F3</f>
        <v>Beech</v>
      </c>
      <c r="C2" t="str">
        <f>+'2015_3di6'!J3</f>
        <v>Temperate oaks</v>
      </c>
      <c r="D2" t="str">
        <f>+'2015_4di6'!B3</f>
        <v>Mediterranean oaks</v>
      </c>
      <c r="E2" t="str">
        <f>+'2015_4di6'!F3</f>
        <v>Chestnut</v>
      </c>
      <c r="F2" t="str">
        <f>+'2015_4di6'!J3</f>
        <v>Hornbeam and Hophornbeam</v>
      </c>
      <c r="G2" t="str">
        <f>+'2015_5di6'!F3</f>
        <v>Other deciduous broadleaved forests</v>
      </c>
      <c r="I2" t="str">
        <f>+'2015_1di6'!B3</f>
        <v>Larch and Stone pine</v>
      </c>
      <c r="J2" t="str">
        <f>+'2015_1di6'!F3</f>
        <v>Norway spruce</v>
      </c>
      <c r="K2" t="str">
        <f>+'2015_1di6'!J3</f>
        <v>Fir</v>
      </c>
      <c r="L2" s="60" t="str">
        <f>+'2015_2di6'!B3</f>
        <v>Scots pine and Mountain pine</v>
      </c>
      <c r="M2" t="str">
        <f>+'2015_2di6'!F3</f>
        <v>Black pines</v>
      </c>
      <c r="N2" t="str">
        <f>+'2015_2di6'!J3</f>
        <v>Mediterranean pines</v>
      </c>
      <c r="O2" t="str">
        <f>+'2015_3di6'!B3</f>
        <v>Other coniferous forests</v>
      </c>
      <c r="Q2" t="str">
        <f>+'2015_5di6'!J3</f>
        <v>Holm oak</v>
      </c>
      <c r="R2" t="str">
        <f>+'2015_6di6'!B3</f>
        <v>Cork oak</v>
      </c>
      <c r="S2" t="str">
        <f>+'2015_6di6'!F3</f>
        <v>Other evergreen broadleaved forests</v>
      </c>
      <c r="V2" s="61" t="str">
        <f>+'2015_5di6'!B3</f>
        <v>Hygrophilous forests</v>
      </c>
      <c r="W2" t="s">
        <v>79</v>
      </c>
      <c r="X2" t="s">
        <v>80</v>
      </c>
      <c r="Y2" t="s">
        <v>81</v>
      </c>
      <c r="Z2" t="s">
        <v>82</v>
      </c>
    </row>
    <row r="3" spans="1:26" ht="12.9" thickBot="1" x14ac:dyDescent="0.35">
      <c r="A3" s="64"/>
      <c r="B3" t="str">
        <f>+'2015_3di6'!F4</f>
        <v>Faggete</v>
      </c>
      <c r="C3" t="str">
        <f>+'2015_3di6'!J4</f>
        <v>Querceti di rovere, roverella e farnia</v>
      </c>
      <c r="D3" t="str">
        <f>+'2015_4di6'!B4</f>
        <v>Cerrete, boschi di farnetto, fragno e vallonea</v>
      </c>
      <c r="E3" t="str">
        <f>+'2015_4di6'!F4</f>
        <v>Castagneti</v>
      </c>
      <c r="F3" t="str">
        <f>+'2015_4di6'!J4</f>
        <v>Ostrieti, carpineti</v>
      </c>
      <c r="G3" t="str">
        <f>+'2015_5di6'!F4</f>
        <v>Altri boschi caducifogli</v>
      </c>
      <c r="I3" t="str">
        <f>+'2015_1di6'!B4</f>
        <v>Boschi di larice e cembro</v>
      </c>
      <c r="J3" t="str">
        <f>+'2015_1di6'!F4</f>
        <v>Boschi di abete rosso</v>
      </c>
      <c r="K3" t="str">
        <f>+'2015_1di6'!J4</f>
        <v>Boschi di abete bianco</v>
      </c>
      <c r="L3" s="60" t="str">
        <f>+'2015_2di6'!B4</f>
        <v>Pinete di pino silvestre e montano</v>
      </c>
      <c r="M3" t="str">
        <f>+'2015_2di6'!F4</f>
        <v>Pinete di pino nero, laricio e loricato</v>
      </c>
      <c r="N3" t="str">
        <f>+'2015_2di6'!J4</f>
        <v>Pinete di pini mediterranei</v>
      </c>
      <c r="O3" t="str">
        <f>+'2015_3di6'!B4</f>
        <v>Altri boschi di conifere, pure o miste</v>
      </c>
      <c r="Q3" t="str">
        <f>+'2015_5di6'!J4</f>
        <v>Leccete</v>
      </c>
      <c r="R3" t="str">
        <f>+'2015_6di6'!B4</f>
        <v>Sugherete</v>
      </c>
      <c r="S3" t="str">
        <f>+'2015_6di6'!F4</f>
        <v>Altri boschi di latifoglie sempreverdi</v>
      </c>
      <c r="U3" s="46"/>
      <c r="V3" s="61" t="str">
        <f>+'2015_5di6'!B4</f>
        <v>Boschi igrofili</v>
      </c>
      <c r="W3" t="s">
        <v>79</v>
      </c>
      <c r="X3" t="s">
        <v>80</v>
      </c>
      <c r="Y3" t="s">
        <v>81</v>
      </c>
      <c r="Z3" t="s">
        <v>82</v>
      </c>
    </row>
    <row r="4" spans="1:26" x14ac:dyDescent="0.3">
      <c r="A4" s="65"/>
      <c r="B4" t="str">
        <f>+'2015_3di6'!H5</f>
        <v>Corg</v>
      </c>
      <c r="C4" t="str">
        <f>+'2015_3di6'!L5</f>
        <v>Corg</v>
      </c>
      <c r="D4" t="str">
        <f>+'2015_4di6'!D5</f>
        <v>Corg</v>
      </c>
      <c r="E4" t="str">
        <f>+'2015_4di6'!H5</f>
        <v>Corg</v>
      </c>
      <c r="F4" t="str">
        <f>+'2015_4di6'!L5</f>
        <v>Corg</v>
      </c>
      <c r="G4" t="str">
        <f>+'2015_5di6'!H5</f>
        <v>Corg</v>
      </c>
      <c r="H4" s="61" t="s">
        <v>3</v>
      </c>
      <c r="I4" t="str">
        <f>+'2015_1di6'!D5</f>
        <v>Corg</v>
      </c>
      <c r="J4" t="str">
        <f>+'2015_1di6'!H5</f>
        <v>Corg</v>
      </c>
      <c r="K4" t="str">
        <f>+'2015_1di6'!L5</f>
        <v>Corg</v>
      </c>
      <c r="L4" s="60" t="str">
        <f>+'2015_2di6'!D5</f>
        <v>Corg</v>
      </c>
      <c r="M4" t="str">
        <f>+'2015_2di6'!H5</f>
        <v>Corg</v>
      </c>
      <c r="N4" t="str">
        <f>+'2015_2di6'!L5</f>
        <v>Corg</v>
      </c>
      <c r="O4" t="str">
        <f>+'2015_3di6'!D5</f>
        <v>Corg</v>
      </c>
      <c r="P4" s="61" t="s">
        <v>3</v>
      </c>
      <c r="Q4" t="str">
        <f>+'2015_5di6'!L5</f>
        <v>Corg</v>
      </c>
      <c r="R4" t="str">
        <f>+'2015_6di6'!D5</f>
        <v>Corg</v>
      </c>
      <c r="S4" t="str">
        <f>+'2015_6di6'!H5</f>
        <v>Corg</v>
      </c>
      <c r="T4" s="61" t="s">
        <v>3</v>
      </c>
      <c r="U4" t="s">
        <v>3</v>
      </c>
      <c r="V4" s="61" t="str">
        <f>+'2015_5di6'!D5</f>
        <v>Corg</v>
      </c>
      <c r="W4" t="s">
        <v>3</v>
      </c>
      <c r="X4" t="s">
        <v>3</v>
      </c>
      <c r="Y4" t="s">
        <v>3</v>
      </c>
      <c r="Z4" t="s">
        <v>3</v>
      </c>
    </row>
    <row r="5" spans="1:26" x14ac:dyDescent="0.3">
      <c r="A5" s="66"/>
      <c r="B5" t="str">
        <f>+'2015_3di6'!H6</f>
        <v>(Mg ha-1)</v>
      </c>
      <c r="C5" t="str">
        <f>+'2015_3di6'!L6</f>
        <v>(Mg ha-1)</v>
      </c>
      <c r="D5" t="str">
        <f>+'2015_4di6'!D6</f>
        <v>(Mg ha-1)</v>
      </c>
      <c r="E5" t="str">
        <f>+'2015_4di6'!H6</f>
        <v>(Mg ha-1)</v>
      </c>
      <c r="F5" t="str">
        <f>+'2015_4di6'!L6</f>
        <v>(Mg ha-1)</v>
      </c>
      <c r="G5" t="str">
        <f>+'2015_5di6'!H6</f>
        <v>(Mg ha-1)</v>
      </c>
      <c r="H5" s="61" t="s">
        <v>84</v>
      </c>
      <c r="I5" t="str">
        <f>+'2015_1di6'!D6</f>
        <v>(Mg ha-1)</v>
      </c>
      <c r="J5" t="str">
        <f>+'2015_1di6'!H6</f>
        <v>(Mg ha-1)</v>
      </c>
      <c r="K5" t="str">
        <f>+'2015_1di6'!L6</f>
        <v>(Mg ha-1)</v>
      </c>
      <c r="L5" s="60" t="str">
        <f>+'2015_2di6'!D6</f>
        <v>(Mg ha-1)</v>
      </c>
      <c r="M5" t="str">
        <f>+'2015_2di6'!H6</f>
        <v>(Mg ha-1)</v>
      </c>
      <c r="N5" t="str">
        <f>+'2015_2di6'!L6</f>
        <v>(Mg ha-1)</v>
      </c>
      <c r="O5" t="str">
        <f>+'2015_3di6'!D6</f>
        <v>(Mg ha-1)</v>
      </c>
      <c r="P5" s="61" t="s">
        <v>84</v>
      </c>
      <c r="Q5" t="str">
        <f>+'2015_5di6'!L6</f>
        <v>(Mg ha-1)</v>
      </c>
      <c r="R5" t="str">
        <f>+'2015_6di6'!D6</f>
        <v>(Mg ha-1)</v>
      </c>
      <c r="S5" t="str">
        <f>+'2015_6di6'!H6</f>
        <v>(Mg ha-1)</v>
      </c>
      <c r="T5" s="61" t="s">
        <v>84</v>
      </c>
      <c r="U5" t="s">
        <v>84</v>
      </c>
      <c r="V5" s="61" t="str">
        <f>+'2015_5di6'!D6</f>
        <v>(Mg ha-1)</v>
      </c>
      <c r="W5" t="s">
        <v>84</v>
      </c>
      <c r="X5" t="s">
        <v>84</v>
      </c>
      <c r="Y5" t="s">
        <v>84</v>
      </c>
      <c r="Z5" t="s">
        <v>84</v>
      </c>
    </row>
    <row r="6" spans="1:26" x14ac:dyDescent="0.3">
      <c r="A6" s="66" t="str">
        <f>+'2015_1di6'!A7</f>
        <v>Piemonte</v>
      </c>
      <c r="B6">
        <f>+'2015_3di6'!H7</f>
        <v>81</v>
      </c>
      <c r="C6">
        <f>+'2015_3di6'!L7</f>
        <v>40.299999999999997</v>
      </c>
      <c r="D6">
        <f>+'2015_4di6'!D7</f>
        <v>81.3</v>
      </c>
      <c r="E6">
        <f>+'2015_4di6'!H7</f>
        <v>67.3</v>
      </c>
      <c r="F6">
        <f>+'2015_4di6'!L7</f>
        <v>41.4</v>
      </c>
      <c r="G6">
        <f>+'2015_5di6'!H7</f>
        <v>44.6</v>
      </c>
      <c r="H6" s="61">
        <f>+AVERAGE(B6:G6)</f>
        <v>59.316666666666663</v>
      </c>
      <c r="I6">
        <f>+'2015_1di6'!D7</f>
        <v>47.5</v>
      </c>
      <c r="J6">
        <f>+'2015_1di6'!H7</f>
        <v>110.9</v>
      </c>
      <c r="K6">
        <f>+'2015_1di6'!L7</f>
        <v>110.7</v>
      </c>
      <c r="L6" s="60">
        <f>+'2015_2di6'!D7</f>
        <v>61.7</v>
      </c>
      <c r="M6">
        <f>+'2015_2di6'!H7</f>
        <v>50.9</v>
      </c>
      <c r="N6">
        <f>+'2015_2di6'!L7</f>
        <v>19.899999999999999</v>
      </c>
      <c r="O6">
        <f>+'2015_3di6'!D7</f>
        <v>55.7</v>
      </c>
      <c r="P6" s="61">
        <f>+AVERAGE(I6:O6)</f>
        <v>65.328571428571422</v>
      </c>
      <c r="U6" s="46"/>
      <c r="V6" s="61">
        <f>+'2015_5di6'!D7</f>
        <v>40.700000000000003</v>
      </c>
      <c r="W6" s="46"/>
      <c r="X6" s="46"/>
      <c r="Y6" s="46"/>
      <c r="Z6" s="46"/>
    </row>
    <row r="7" spans="1:26" x14ac:dyDescent="0.3">
      <c r="A7" s="66" t="str">
        <f>+'2015_1di6'!A8</f>
        <v>Valle d'Aosta</v>
      </c>
      <c r="B7">
        <f>+'2015_3di6'!H8</f>
        <v>115.4</v>
      </c>
      <c r="C7">
        <f>+'2015_3di6'!L8</f>
        <v>46.8</v>
      </c>
      <c r="E7">
        <f>+'2015_4di6'!H8</f>
        <v>56.3</v>
      </c>
      <c r="G7">
        <f>+'2015_5di6'!H8</f>
        <v>34.5</v>
      </c>
      <c r="H7" s="61">
        <f t="shared" ref="H7:H25" si="0">+AVERAGE(B7:G7)</f>
        <v>63.25</v>
      </c>
      <c r="I7">
        <f>+'2015_1di6'!D8</f>
        <v>50.6</v>
      </c>
      <c r="J7">
        <f>+'2015_1di6'!H8</f>
        <v>82.3</v>
      </c>
      <c r="K7">
        <f>+'2015_1di6'!L8</f>
        <v>85.2</v>
      </c>
      <c r="L7" s="60">
        <f>+'2015_2di6'!D8</f>
        <v>56</v>
      </c>
      <c r="M7">
        <f>+'2015_2di6'!H8</f>
        <v>40.700000000000003</v>
      </c>
      <c r="P7" s="61">
        <f t="shared" ref="P7:P27" si="1">+AVERAGE(I7:O7)</f>
        <v>62.96</v>
      </c>
      <c r="V7" s="61">
        <f>+'2015_5di6'!D8</f>
        <v>0</v>
      </c>
    </row>
    <row r="8" spans="1:26" x14ac:dyDescent="0.3">
      <c r="A8" s="66" t="str">
        <f>+'2015_1di6'!A9</f>
        <v>Lombardia</v>
      </c>
      <c r="B8">
        <f>+'2015_3di6'!H9</f>
        <v>85.3</v>
      </c>
      <c r="C8">
        <f>+'2015_3di6'!L9</f>
        <v>53.1</v>
      </c>
      <c r="D8">
        <f>+'2015_4di6'!D9</f>
        <v>76</v>
      </c>
      <c r="E8">
        <f>+'2015_4di6'!H9</f>
        <v>83</v>
      </c>
      <c r="F8">
        <f>+'2015_4di6'!L9</f>
        <v>36.1</v>
      </c>
      <c r="G8">
        <f>+'2015_5di6'!H9</f>
        <v>52.7</v>
      </c>
      <c r="H8" s="61">
        <f t="shared" si="0"/>
        <v>64.36666666666666</v>
      </c>
      <c r="I8">
        <f>+'2015_1di6'!D9</f>
        <v>70.5</v>
      </c>
      <c r="J8">
        <f>+'2015_1di6'!H9</f>
        <v>101.9</v>
      </c>
      <c r="K8">
        <f>+'2015_1di6'!L9</f>
        <v>126.6</v>
      </c>
      <c r="L8" s="60">
        <f>+'2015_2di6'!D9</f>
        <v>57.6</v>
      </c>
      <c r="M8">
        <f>+'2015_2di6'!H9</f>
        <v>79.3</v>
      </c>
      <c r="O8">
        <f>+'2015_3di6'!D9</f>
        <v>66.8</v>
      </c>
      <c r="P8" s="61">
        <f t="shared" si="1"/>
        <v>83.783333333333346</v>
      </c>
      <c r="S8">
        <f>+'2015_6di6'!H9</f>
        <v>25.5</v>
      </c>
      <c r="T8" s="61">
        <f t="shared" ref="T8:T27" si="2">+AVERAGE(Q8:S8)</f>
        <v>25.5</v>
      </c>
      <c r="V8" s="61">
        <f>+'2015_5di6'!D9</f>
        <v>41.6</v>
      </c>
    </row>
    <row r="9" spans="1:26" x14ac:dyDescent="0.3">
      <c r="A9" s="66" t="str">
        <f>+'2015_1di6'!A10</f>
        <v>Alto Adige</v>
      </c>
      <c r="B9">
        <f>+'2015_3di6'!H10</f>
        <v>81.7</v>
      </c>
      <c r="C9">
        <f>+'2015_3di6'!L10</f>
        <v>46.8</v>
      </c>
      <c r="E9">
        <f>+'2015_4di6'!H10</f>
        <v>66.099999999999994</v>
      </c>
      <c r="F9">
        <f>+'2015_4di6'!L10</f>
        <v>59.4</v>
      </c>
      <c r="G9">
        <f>+'2015_5di6'!H10</f>
        <v>70.2</v>
      </c>
      <c r="H9" s="61">
        <f t="shared" si="0"/>
        <v>64.84</v>
      </c>
      <c r="I9">
        <f>+'2015_1di6'!D10</f>
        <v>70</v>
      </c>
      <c r="J9">
        <f>+'2015_1di6'!H10</f>
        <v>106.6</v>
      </c>
      <c r="K9">
        <f>+'2015_1di6'!L10</f>
        <v>121.1</v>
      </c>
      <c r="L9" s="60">
        <f>+'2015_2di6'!D10</f>
        <v>87.7</v>
      </c>
      <c r="M9">
        <f>+'2015_2di6'!H10</f>
        <v>6.9</v>
      </c>
      <c r="P9" s="61">
        <f t="shared" si="1"/>
        <v>78.459999999999994</v>
      </c>
      <c r="U9" s="46"/>
      <c r="V9" s="61">
        <f>+'2015_5di6'!D10</f>
        <v>48.7</v>
      </c>
      <c r="W9" s="46"/>
      <c r="X9" s="46"/>
      <c r="Y9" s="46"/>
      <c r="Z9" s="46"/>
    </row>
    <row r="10" spans="1:26" x14ac:dyDescent="0.3">
      <c r="A10" s="66" t="str">
        <f>+'2015_1di6'!A11</f>
        <v>Trentino</v>
      </c>
      <c r="B10">
        <f>+'2015_3di6'!H11</f>
        <v>85.5</v>
      </c>
      <c r="C10">
        <f>+'2015_3di6'!L11</f>
        <v>52</v>
      </c>
      <c r="E10">
        <f>+'2015_4di6'!H11</f>
        <v>91.3</v>
      </c>
      <c r="F10">
        <f>+'2015_4di6'!L11</f>
        <v>45.4</v>
      </c>
      <c r="G10">
        <f>+'2015_5di6'!H11</f>
        <v>53.3</v>
      </c>
      <c r="H10" s="61">
        <f t="shared" si="0"/>
        <v>65.5</v>
      </c>
      <c r="I10">
        <f>+'2015_1di6'!D11</f>
        <v>55.6</v>
      </c>
      <c r="J10">
        <f>+'2015_1di6'!H11</f>
        <v>114.9</v>
      </c>
      <c r="K10">
        <f>+'2015_1di6'!L11</f>
        <v>135</v>
      </c>
      <c r="L10" s="60">
        <f>+'2015_2di6'!D11</f>
        <v>62.9</v>
      </c>
      <c r="M10">
        <f>+'2015_2di6'!H11</f>
        <v>79.099999999999994</v>
      </c>
      <c r="P10" s="61">
        <f t="shared" si="1"/>
        <v>89.5</v>
      </c>
      <c r="Q10">
        <f>+'2015_5di6'!L11</f>
        <v>12.9</v>
      </c>
      <c r="T10" s="61">
        <f t="shared" si="2"/>
        <v>12.9</v>
      </c>
      <c r="V10" s="61">
        <f>+'2015_5di6'!D11</f>
        <v>67.2</v>
      </c>
    </row>
    <row r="11" spans="1:26" x14ac:dyDescent="0.3">
      <c r="A11" s="66" t="str">
        <f>+'2015_1di6'!A12</f>
        <v>Veneto</v>
      </c>
      <c r="B11">
        <f>+'2015_3di6'!H12</f>
        <v>100.1</v>
      </c>
      <c r="C11">
        <f>+'2015_3di6'!L12</f>
        <v>61.7</v>
      </c>
      <c r="E11">
        <f>+'2015_4di6'!H12</f>
        <v>57</v>
      </c>
      <c r="F11">
        <f>+'2015_4di6'!L12</f>
        <v>54.1</v>
      </c>
      <c r="G11">
        <f>+'2015_5di6'!H12</f>
        <v>41.3</v>
      </c>
      <c r="H11" s="61">
        <f t="shared" si="0"/>
        <v>62.840000000000011</v>
      </c>
      <c r="I11">
        <f>+'2015_1di6'!D12</f>
        <v>63.2</v>
      </c>
      <c r="J11">
        <f>+'2015_1di6'!H12</f>
        <v>106.4</v>
      </c>
      <c r="K11">
        <f>+'2015_1di6'!L12</f>
        <v>143.1</v>
      </c>
      <c r="L11" s="60">
        <f>+'2015_2di6'!D12</f>
        <v>51.2</v>
      </c>
      <c r="M11">
        <f>+'2015_2di6'!H12</f>
        <v>55.7</v>
      </c>
      <c r="N11">
        <f>+'2015_2di6'!L12</f>
        <v>85.3</v>
      </c>
      <c r="P11" s="61">
        <f t="shared" si="1"/>
        <v>84.15</v>
      </c>
      <c r="Q11">
        <f>+'2015_5di6'!L12</f>
        <v>65.7</v>
      </c>
      <c r="T11" s="61">
        <f t="shared" si="2"/>
        <v>65.7</v>
      </c>
      <c r="V11" s="61">
        <f>+'2015_5di6'!D12</f>
        <v>28.6</v>
      </c>
    </row>
    <row r="12" spans="1:26" x14ac:dyDescent="0.3">
      <c r="A12" s="66" t="str">
        <f>+'2015_1di6'!A13</f>
        <v>Friuli V.G.</v>
      </c>
      <c r="B12">
        <f>+'2015_3di6'!H13</f>
        <v>104.6</v>
      </c>
      <c r="C12">
        <f>+'2015_3di6'!L13</f>
        <v>47.9</v>
      </c>
      <c r="E12">
        <f>+'2015_4di6'!H13</f>
        <v>110.3</v>
      </c>
      <c r="F12">
        <f>+'2015_4di6'!L13</f>
        <v>43.6</v>
      </c>
      <c r="G12">
        <f>+'2015_5di6'!H13</f>
        <v>59.4</v>
      </c>
      <c r="H12" s="61">
        <f t="shared" si="0"/>
        <v>73.16</v>
      </c>
      <c r="I12">
        <f>+'2015_1di6'!D13</f>
        <v>37.299999999999997</v>
      </c>
      <c r="J12">
        <f>+'2015_1di6'!H13</f>
        <v>131.5</v>
      </c>
      <c r="K12">
        <f>+'2015_1di6'!L13</f>
        <v>190.5</v>
      </c>
      <c r="L12" s="60">
        <f>+'2015_2di6'!D13</f>
        <v>52.1</v>
      </c>
      <c r="M12">
        <f>+'2015_2di6'!H13</f>
        <v>64.599999999999994</v>
      </c>
      <c r="N12">
        <f>+'2015_2di6'!L13</f>
        <v>30.3</v>
      </c>
      <c r="O12">
        <f>+'2015_3di6'!D13</f>
        <v>76.900000000000006</v>
      </c>
      <c r="P12" s="61">
        <f t="shared" si="1"/>
        <v>83.314285714285717</v>
      </c>
      <c r="U12" s="46"/>
      <c r="V12" s="61">
        <f>+'2015_5di6'!D13</f>
        <v>20.3</v>
      </c>
      <c r="W12" s="46"/>
      <c r="X12" s="46"/>
      <c r="Y12" s="46"/>
      <c r="Z12" s="46"/>
    </row>
    <row r="13" spans="1:26" x14ac:dyDescent="0.3">
      <c r="A13" s="66" t="str">
        <f>+'2015_1di6'!A14</f>
        <v>Liguria</v>
      </c>
      <c r="B13">
        <f>+'2015_3di6'!H14</f>
        <v>100.3</v>
      </c>
      <c r="C13">
        <f>+'2015_3di6'!L14</f>
        <v>39.799999999999997</v>
      </c>
      <c r="D13">
        <f>+'2015_4di6'!D14</f>
        <v>66.099999999999994</v>
      </c>
      <c r="E13">
        <f>+'2015_4di6'!H14</f>
        <v>58.6</v>
      </c>
      <c r="F13">
        <f>+'2015_4di6'!L14</f>
        <v>40.6</v>
      </c>
      <c r="G13">
        <f>+'2015_5di6'!H14</f>
        <v>35.6</v>
      </c>
      <c r="H13" s="61">
        <f t="shared" si="0"/>
        <v>56.833333333333343</v>
      </c>
      <c r="I13">
        <f>+'2015_1di6'!D14</f>
        <v>46.4</v>
      </c>
      <c r="J13">
        <f>+'2015_1di6'!H14</f>
        <v>69.2</v>
      </c>
      <c r="K13">
        <f>+'2015_1di6'!L14</f>
        <v>128.80000000000001</v>
      </c>
      <c r="L13" s="60">
        <f>+'2015_2di6'!D14</f>
        <v>44.2</v>
      </c>
      <c r="M13">
        <f>+'2015_2di6'!H14</f>
        <v>83.8</v>
      </c>
      <c r="N13">
        <f>+'2015_2di6'!L14</f>
        <v>23.9</v>
      </c>
      <c r="O13">
        <f>+'2015_3di6'!D14</f>
        <v>134.1</v>
      </c>
      <c r="P13" s="61">
        <f t="shared" si="1"/>
        <v>75.771428571428572</v>
      </c>
      <c r="Q13">
        <f>+'2015_5di6'!L14</f>
        <v>41.5</v>
      </c>
      <c r="T13" s="61">
        <f t="shared" si="2"/>
        <v>41.5</v>
      </c>
      <c r="V13" s="61">
        <f>+'2015_5di6'!D14</f>
        <v>62.6</v>
      </c>
    </row>
    <row r="14" spans="1:26" x14ac:dyDescent="0.3">
      <c r="A14" s="66" t="str">
        <f>+'2015_1di6'!A15</f>
        <v>Emilia Romagna</v>
      </c>
      <c r="B14">
        <f>+'2015_3di6'!H15</f>
        <v>94.2</v>
      </c>
      <c r="C14">
        <f>+'2015_3di6'!L15</f>
        <v>32.1</v>
      </c>
      <c r="D14">
        <f>+'2015_4di6'!D15</f>
        <v>48.5</v>
      </c>
      <c r="E14">
        <f>+'2015_4di6'!H15</f>
        <v>66.3</v>
      </c>
      <c r="F14">
        <f>+'2015_4di6'!L15</f>
        <v>41.5</v>
      </c>
      <c r="G14">
        <f>+'2015_5di6'!H15</f>
        <v>38.200000000000003</v>
      </c>
      <c r="H14" s="61">
        <f t="shared" si="0"/>
        <v>53.466666666666669</v>
      </c>
      <c r="J14">
        <f>+'2015_1di6'!H15</f>
        <v>123.6</v>
      </c>
      <c r="K14">
        <f>+'2015_1di6'!L15</f>
        <v>185.2</v>
      </c>
      <c r="L14" s="60">
        <f>+'2015_2di6'!D15</f>
        <v>51.8</v>
      </c>
      <c r="M14">
        <f>+'2015_2di6'!H15</f>
        <v>88.3</v>
      </c>
      <c r="N14">
        <f>+'2015_2di6'!L15</f>
        <v>67</v>
      </c>
      <c r="O14">
        <f>+'2015_3di6'!D15</f>
        <v>61</v>
      </c>
      <c r="P14" s="61">
        <f t="shared" si="1"/>
        <v>96.149999999999991</v>
      </c>
      <c r="Q14">
        <f>+'2015_5di6'!L15</f>
        <v>74.400000000000006</v>
      </c>
      <c r="T14" s="61">
        <f t="shared" si="2"/>
        <v>74.400000000000006</v>
      </c>
      <c r="V14" s="61">
        <f>+'2015_5di6'!D15</f>
        <v>28.6</v>
      </c>
    </row>
    <row r="15" spans="1:26" x14ac:dyDescent="0.3">
      <c r="A15" s="66" t="str">
        <f>+'2015_1di6'!A16</f>
        <v>Toscana</v>
      </c>
      <c r="B15">
        <f>+'2015_3di6'!H16</f>
        <v>117.6</v>
      </c>
      <c r="C15">
        <f>+'2015_3di6'!L16</f>
        <v>36.799999999999997</v>
      </c>
      <c r="D15">
        <f>+'2015_4di6'!D16</f>
        <v>44.6</v>
      </c>
      <c r="E15">
        <f>+'2015_4di6'!H16</f>
        <v>64.3</v>
      </c>
      <c r="F15">
        <f>+'2015_4di6'!L16</f>
        <v>48.2</v>
      </c>
      <c r="G15">
        <f>+'2015_5di6'!H16</f>
        <v>44.7</v>
      </c>
      <c r="H15" s="61">
        <f t="shared" si="0"/>
        <v>59.366666666666653</v>
      </c>
      <c r="J15">
        <f>+'2015_1di6'!H16</f>
        <v>176.5</v>
      </c>
      <c r="K15">
        <f>+'2015_1di6'!L16</f>
        <v>158.19999999999999</v>
      </c>
      <c r="L15" s="60">
        <f>+'2015_2di6'!D16</f>
        <v>104.8</v>
      </c>
      <c r="M15">
        <f>+'2015_2di6'!H16</f>
        <v>128.1</v>
      </c>
      <c r="N15">
        <f>+'2015_2di6'!L16</f>
        <v>71.400000000000006</v>
      </c>
      <c r="O15">
        <f>+'2015_3di6'!D16</f>
        <v>102.1</v>
      </c>
      <c r="P15" s="61">
        <f t="shared" si="1"/>
        <v>123.51666666666667</v>
      </c>
      <c r="Q15">
        <f>+'2015_5di6'!L16</f>
        <v>44.8</v>
      </c>
      <c r="R15">
        <f>+'2015_6di6'!D16</f>
        <v>46.5</v>
      </c>
      <c r="S15">
        <f>+'2015_6di6'!H16</f>
        <v>14.3</v>
      </c>
      <c r="T15" s="61">
        <f t="shared" si="2"/>
        <v>35.199999999999996</v>
      </c>
      <c r="U15" s="46"/>
      <c r="V15" s="61">
        <f>+'2015_5di6'!D16</f>
        <v>46.4</v>
      </c>
      <c r="W15" s="46"/>
      <c r="X15" s="46"/>
      <c r="Y15" s="46"/>
      <c r="Z15" s="46"/>
    </row>
    <row r="16" spans="1:26" x14ac:dyDescent="0.3">
      <c r="A16" s="66" t="str">
        <f>+'2015_1di6'!A17</f>
        <v>Umbria</v>
      </c>
      <c r="B16">
        <f>+'2015_3di6'!H17</f>
        <v>73.400000000000006</v>
      </c>
      <c r="C16">
        <f>+'2015_3di6'!L17</f>
        <v>27.9</v>
      </c>
      <c r="D16">
        <f>+'2015_4di6'!D17</f>
        <v>40.299999999999997</v>
      </c>
      <c r="E16">
        <f>+'2015_4di6'!H17</f>
        <v>47.6</v>
      </c>
      <c r="F16">
        <f>+'2015_4di6'!L17</f>
        <v>29.6</v>
      </c>
      <c r="G16">
        <f>+'2015_5di6'!H17</f>
        <v>28.2</v>
      </c>
      <c r="H16" s="61">
        <f t="shared" si="0"/>
        <v>41.166666666666664</v>
      </c>
      <c r="L16" s="60">
        <f>+'2015_2di6'!D17</f>
        <v>56</v>
      </c>
      <c r="M16">
        <f>+'2015_2di6'!H17</f>
        <v>53.3</v>
      </c>
      <c r="N16">
        <f>+'2015_2di6'!L17</f>
        <v>47.4</v>
      </c>
      <c r="O16">
        <f>+'2015_3di6'!D17</f>
        <v>96.6</v>
      </c>
      <c r="P16" s="61">
        <f t="shared" si="1"/>
        <v>63.324999999999996</v>
      </c>
      <c r="Q16">
        <f>+'2015_5di6'!L17</f>
        <v>52.8</v>
      </c>
      <c r="T16" s="61">
        <f t="shared" si="2"/>
        <v>52.8</v>
      </c>
      <c r="V16" s="61">
        <f>+'2015_5di6'!D17</f>
        <v>54.2</v>
      </c>
    </row>
    <row r="17" spans="1:26" x14ac:dyDescent="0.3">
      <c r="A17" s="66" t="str">
        <f>+'2015_1di6'!A18</f>
        <v>Marche</v>
      </c>
      <c r="B17">
        <f>+'2015_3di6'!H18</f>
        <v>81.2</v>
      </c>
      <c r="C17">
        <f>+'2015_3di6'!L18</f>
        <v>34.700000000000003</v>
      </c>
      <c r="D17">
        <f>+'2015_4di6'!D18</f>
        <v>60.1</v>
      </c>
      <c r="E17">
        <f>+'2015_4di6'!H18</f>
        <v>65</v>
      </c>
      <c r="F17">
        <f>+'2015_4di6'!L18</f>
        <v>32.200000000000003</v>
      </c>
      <c r="G17">
        <f>+'2015_5di6'!H18</f>
        <v>30.9</v>
      </c>
      <c r="H17" s="61">
        <f t="shared" si="0"/>
        <v>50.68333333333333</v>
      </c>
      <c r="J17">
        <f>+'2015_1di6'!H18</f>
        <v>54.7</v>
      </c>
      <c r="L17" s="60"/>
      <c r="M17">
        <f>+'2015_2di6'!H18</f>
        <v>52.4</v>
      </c>
      <c r="N17">
        <f>+'2015_2di6'!L18</f>
        <v>47.2</v>
      </c>
      <c r="O17">
        <f>+'2015_3di6'!D18</f>
        <v>33.1</v>
      </c>
      <c r="P17" s="61">
        <f t="shared" si="1"/>
        <v>46.85</v>
      </c>
      <c r="Q17">
        <f>+'2015_5di6'!L18</f>
        <v>52.8</v>
      </c>
      <c r="T17" s="61">
        <f t="shared" si="2"/>
        <v>52.8</v>
      </c>
      <c r="V17" s="61">
        <f>+'2015_5di6'!D18</f>
        <v>52.1</v>
      </c>
    </row>
    <row r="18" spans="1:26" x14ac:dyDescent="0.3">
      <c r="A18" s="66" t="str">
        <f>+'2015_1di6'!A19</f>
        <v>Lazio</v>
      </c>
      <c r="B18">
        <f>+'2015_3di6'!H19</f>
        <v>115.7</v>
      </c>
      <c r="C18">
        <f>+'2015_3di6'!L19</f>
        <v>29.7</v>
      </c>
      <c r="D18">
        <f>+'2015_4di6'!D19</f>
        <v>53.4</v>
      </c>
      <c r="E18">
        <f>+'2015_4di6'!H19</f>
        <v>55.6</v>
      </c>
      <c r="F18">
        <f>+'2015_4di6'!L19</f>
        <v>37</v>
      </c>
      <c r="G18">
        <f>+'2015_5di6'!H19</f>
        <v>32.200000000000003</v>
      </c>
      <c r="H18" s="61">
        <f t="shared" si="0"/>
        <v>53.93333333333333</v>
      </c>
      <c r="J18">
        <f>+'2015_1di6'!H19</f>
        <v>244.2</v>
      </c>
      <c r="L18" s="60"/>
      <c r="M18">
        <f>+'2015_2di6'!H19</f>
        <v>69</v>
      </c>
      <c r="N18">
        <f>+'2015_2di6'!L19</f>
        <v>55.6</v>
      </c>
      <c r="O18">
        <f>+'2015_3di6'!D19</f>
        <v>103.7</v>
      </c>
      <c r="P18" s="61">
        <f t="shared" si="1"/>
        <v>118.125</v>
      </c>
      <c r="Q18">
        <f>+'2015_5di6'!L19</f>
        <v>39.6</v>
      </c>
      <c r="R18">
        <f>+'2015_6di6'!D19</f>
        <v>39.9</v>
      </c>
      <c r="S18">
        <f>+'2015_6di6'!H19</f>
        <v>16.8</v>
      </c>
      <c r="T18" s="61">
        <f t="shared" si="2"/>
        <v>32.1</v>
      </c>
      <c r="U18" s="46"/>
      <c r="V18" s="61">
        <f>+'2015_5di6'!D19</f>
        <v>33.1</v>
      </c>
      <c r="W18" s="46"/>
      <c r="X18" s="46"/>
      <c r="Y18" s="46"/>
      <c r="Z18" s="46"/>
    </row>
    <row r="19" spans="1:26" x14ac:dyDescent="0.3">
      <c r="A19" s="66" t="str">
        <f>+'2015_1di6'!A20</f>
        <v>Abruzzo</v>
      </c>
      <c r="B19">
        <f>+'2015_3di6'!H20</f>
        <v>110.1</v>
      </c>
      <c r="C19">
        <f>+'2015_3di6'!L20</f>
        <v>36.1</v>
      </c>
      <c r="D19">
        <f>+'2015_4di6'!D20</f>
        <v>56.7</v>
      </c>
      <c r="E19">
        <f>+'2015_4di6'!H20</f>
        <v>70.8</v>
      </c>
      <c r="F19">
        <f>+'2015_4di6'!L20</f>
        <v>38.799999999999997</v>
      </c>
      <c r="G19">
        <f>+'2015_5di6'!H20</f>
        <v>26.5</v>
      </c>
      <c r="H19" s="61">
        <f t="shared" si="0"/>
        <v>56.5</v>
      </c>
      <c r="J19">
        <f>+'2015_1di6'!H20</f>
        <v>89.2</v>
      </c>
      <c r="K19">
        <f>+'2015_1di6'!L20</f>
        <v>132.1</v>
      </c>
      <c r="L19" s="60">
        <f>+'2015_2di6'!D20</f>
        <v>103.5</v>
      </c>
      <c r="M19">
        <f>+'2015_2di6'!H20</f>
        <v>55.4</v>
      </c>
      <c r="N19">
        <f>+'2015_2di6'!L20</f>
        <v>47.6</v>
      </c>
      <c r="O19">
        <f>+'2015_3di6'!D20</f>
        <v>50.6</v>
      </c>
      <c r="P19" s="61">
        <f t="shared" si="1"/>
        <v>79.733333333333334</v>
      </c>
      <c r="Q19">
        <f>+'2015_5di6'!L20</f>
        <v>40.1</v>
      </c>
      <c r="S19">
        <f>+'2015_6di6'!H20</f>
        <v>21.7</v>
      </c>
      <c r="T19" s="61">
        <f t="shared" si="2"/>
        <v>30.9</v>
      </c>
      <c r="V19" s="61">
        <f>+'2015_5di6'!D20</f>
        <v>34.299999999999997</v>
      </c>
    </row>
    <row r="20" spans="1:26" x14ac:dyDescent="0.3">
      <c r="A20" s="66" t="str">
        <f>+'2015_1di6'!A21</f>
        <v>Molise</v>
      </c>
      <c r="B20">
        <f>+'2015_3di6'!H21</f>
        <v>133.5</v>
      </c>
      <c r="C20">
        <f>+'2015_3di6'!L21</f>
        <v>34.200000000000003</v>
      </c>
      <c r="D20">
        <f>+'2015_4di6'!D21</f>
        <v>55.6</v>
      </c>
      <c r="E20">
        <f>+'2015_4di6'!H21</f>
        <v>57.8</v>
      </c>
      <c r="F20">
        <f>+'2015_4di6'!L21</f>
        <v>58.5</v>
      </c>
      <c r="G20">
        <f>+'2015_5di6'!H21</f>
        <v>38.700000000000003</v>
      </c>
      <c r="H20" s="61">
        <f t="shared" si="0"/>
        <v>63.04999999999999</v>
      </c>
      <c r="K20">
        <f>+'2015_1di6'!L21</f>
        <v>106.1</v>
      </c>
      <c r="L20" s="60"/>
      <c r="M20">
        <f>+'2015_2di6'!H21</f>
        <v>45.8</v>
      </c>
      <c r="N20">
        <f>+'2015_2di6'!L21</f>
        <v>23.4</v>
      </c>
      <c r="P20" s="61">
        <f t="shared" si="1"/>
        <v>58.43333333333333</v>
      </c>
      <c r="Q20">
        <f>+'2015_5di6'!L21</f>
        <v>14.4</v>
      </c>
      <c r="T20" s="61">
        <f t="shared" si="2"/>
        <v>14.4</v>
      </c>
      <c r="V20" s="61">
        <f>+'2015_5di6'!D21</f>
        <v>21.3</v>
      </c>
    </row>
    <row r="21" spans="1:26" x14ac:dyDescent="0.3">
      <c r="A21" s="66" t="str">
        <f>+'2015_1di6'!A22</f>
        <v>Campania</v>
      </c>
      <c r="B21">
        <f>+'2015_3di6'!H22</f>
        <v>143.9</v>
      </c>
      <c r="C21">
        <f>+'2015_3di6'!L22</f>
        <v>29.1</v>
      </c>
      <c r="D21">
        <f>+'2015_4di6'!D22</f>
        <v>50.9</v>
      </c>
      <c r="E21">
        <f>+'2015_4di6'!H22</f>
        <v>33.9</v>
      </c>
      <c r="F21">
        <f>+'2015_4di6'!L22</f>
        <v>42.4</v>
      </c>
      <c r="G21">
        <f>+'2015_5di6'!H22</f>
        <v>38</v>
      </c>
      <c r="H21" s="61">
        <f t="shared" si="0"/>
        <v>56.366666666666667</v>
      </c>
      <c r="L21" s="60"/>
      <c r="M21">
        <f>+'2015_2di6'!H22</f>
        <v>76.900000000000006</v>
      </c>
      <c r="N21">
        <f>+'2015_2di6'!L22</f>
        <v>52.8</v>
      </c>
      <c r="O21">
        <f>+'2015_3di6'!D22</f>
        <v>16.899999999999999</v>
      </c>
      <c r="P21" s="61">
        <f t="shared" si="1"/>
        <v>48.866666666666667</v>
      </c>
      <c r="Q21">
        <f>+'2015_5di6'!L22</f>
        <v>42.6</v>
      </c>
      <c r="R21">
        <f>+'2015_6di6'!D22</f>
        <v>75.8</v>
      </c>
      <c r="S21">
        <f>+'2015_6di6'!H22</f>
        <v>4.2</v>
      </c>
      <c r="T21" s="61">
        <f t="shared" si="2"/>
        <v>40.866666666666667</v>
      </c>
      <c r="U21" s="46"/>
      <c r="V21" s="61">
        <f>+'2015_5di6'!D22</f>
        <v>45.1</v>
      </c>
      <c r="W21" s="46"/>
      <c r="X21" s="46"/>
      <c r="Y21" s="46"/>
      <c r="Z21" s="46"/>
    </row>
    <row r="22" spans="1:26" x14ac:dyDescent="0.3">
      <c r="A22" s="66" t="str">
        <f>+'2015_1di6'!A23</f>
        <v>Puglia</v>
      </c>
      <c r="B22">
        <f>+'2015_3di6'!H23</f>
        <v>153.30000000000001</v>
      </c>
      <c r="C22">
        <f>+'2015_3di6'!L23</f>
        <v>35.200000000000003</v>
      </c>
      <c r="D22">
        <f>+'2015_4di6'!D23</f>
        <v>41.2</v>
      </c>
      <c r="E22">
        <f>+'2015_4di6'!H23</f>
        <v>54.4</v>
      </c>
      <c r="F22">
        <f>+'2015_4di6'!L23</f>
        <v>48.7</v>
      </c>
      <c r="G22">
        <f>+'2015_5di6'!H23</f>
        <v>69.5</v>
      </c>
      <c r="H22" s="61">
        <f t="shared" si="0"/>
        <v>67.05</v>
      </c>
      <c r="L22" s="60"/>
      <c r="M22">
        <f>+'2015_2di6'!H23</f>
        <v>113.2</v>
      </c>
      <c r="N22">
        <f>+'2015_2di6'!L23</f>
        <v>31.5</v>
      </c>
      <c r="O22">
        <f>+'2015_3di6'!D23</f>
        <v>63.5</v>
      </c>
      <c r="P22" s="61">
        <f t="shared" si="1"/>
        <v>69.399999999999991</v>
      </c>
      <c r="Q22">
        <f>+'2015_5di6'!L23</f>
        <v>35</v>
      </c>
      <c r="S22">
        <f>+'2015_6di6'!H23</f>
        <v>26.5</v>
      </c>
      <c r="T22" s="61">
        <f t="shared" si="2"/>
        <v>30.75</v>
      </c>
      <c r="V22" s="61">
        <f>+'2015_5di6'!D23</f>
        <v>37.6</v>
      </c>
    </row>
    <row r="23" spans="1:26" x14ac:dyDescent="0.3">
      <c r="A23" s="66" t="str">
        <f>+'2015_1di6'!A24</f>
        <v>Basilicata</v>
      </c>
      <c r="B23">
        <f>+'2015_3di6'!H24</f>
        <v>128.69999999999999</v>
      </c>
      <c r="C23">
        <f>+'2015_3di6'!L24</f>
        <v>26</v>
      </c>
      <c r="D23">
        <f>+'2015_4di6'!D24</f>
        <v>49</v>
      </c>
      <c r="E23">
        <f>+'2015_4di6'!H24</f>
        <v>60.2</v>
      </c>
      <c r="F23">
        <f>+'2015_4di6'!L24</f>
        <v>45.9</v>
      </c>
      <c r="G23">
        <f>+'2015_5di6'!H24</f>
        <v>32.9</v>
      </c>
      <c r="H23" s="61">
        <f t="shared" si="0"/>
        <v>57.116666666666653</v>
      </c>
      <c r="K23">
        <f>+'2015_1di6'!L24</f>
        <v>120.1</v>
      </c>
      <c r="L23" s="60"/>
      <c r="M23">
        <f>+'2015_2di6'!H24</f>
        <v>49.3</v>
      </c>
      <c r="N23">
        <f>+'2015_2di6'!L24</f>
        <v>33.799999999999997</v>
      </c>
      <c r="O23">
        <f>+'2015_3di6'!D24</f>
        <v>44.7</v>
      </c>
      <c r="P23" s="61">
        <f t="shared" si="1"/>
        <v>61.974999999999994</v>
      </c>
      <c r="Q23">
        <f>+'2015_5di6'!L24</f>
        <v>27.6</v>
      </c>
      <c r="S23">
        <f>+'2015_6di6'!H24</f>
        <v>34.6</v>
      </c>
      <c r="T23" s="61">
        <f t="shared" si="2"/>
        <v>31.1</v>
      </c>
      <c r="V23" s="61">
        <f>+'2015_5di6'!D24</f>
        <v>18.100000000000001</v>
      </c>
    </row>
    <row r="24" spans="1:26" x14ac:dyDescent="0.3">
      <c r="A24" s="66" t="str">
        <f>+'2015_1di6'!A25</f>
        <v>Calabria</v>
      </c>
      <c r="B24">
        <f>+'2015_3di6'!H25</f>
        <v>152.9</v>
      </c>
      <c r="C24">
        <f>+'2015_3di6'!L25</f>
        <v>38.799999999999997</v>
      </c>
      <c r="D24">
        <f>+'2015_4di6'!D25</f>
        <v>80.3</v>
      </c>
      <c r="E24">
        <f>+'2015_4di6'!H25</f>
        <v>42.8</v>
      </c>
      <c r="F24">
        <f>+'2015_4di6'!L25</f>
        <v>14</v>
      </c>
      <c r="G24">
        <f>+'2015_5di6'!H25</f>
        <v>47.3</v>
      </c>
      <c r="H24" s="61">
        <f t="shared" si="0"/>
        <v>62.683333333333337</v>
      </c>
      <c r="K24">
        <f>+'2015_1di6'!L25</f>
        <v>105</v>
      </c>
      <c r="L24" s="60"/>
      <c r="M24">
        <f>+'2015_2di6'!H25</f>
        <v>83.3</v>
      </c>
      <c r="N24">
        <f>+'2015_2di6'!L25</f>
        <v>47.5</v>
      </c>
      <c r="O24">
        <f>+'2015_3di6'!D25</f>
        <v>108.8</v>
      </c>
      <c r="P24" s="61">
        <f t="shared" si="1"/>
        <v>86.15</v>
      </c>
      <c r="Q24">
        <f>+'2015_5di6'!L25</f>
        <v>96.3</v>
      </c>
      <c r="R24">
        <f>+'2015_6di6'!D25</f>
        <v>56.9</v>
      </c>
      <c r="S24">
        <f>+'2015_6di6'!H25</f>
        <v>15.7</v>
      </c>
      <c r="T24" s="61">
        <f t="shared" si="2"/>
        <v>56.29999999999999</v>
      </c>
      <c r="U24" s="46"/>
      <c r="V24" s="61">
        <f>+'2015_5di6'!D25</f>
        <v>37.200000000000003</v>
      </c>
      <c r="W24" s="46"/>
      <c r="X24" s="46"/>
      <c r="Y24" s="46"/>
      <c r="Z24" s="46"/>
    </row>
    <row r="25" spans="1:26" x14ac:dyDescent="0.3">
      <c r="A25" s="66" t="str">
        <f>+'2015_1di6'!A26</f>
        <v>Sicilia</v>
      </c>
      <c r="B25">
        <f>+'2015_3di6'!H26</f>
        <v>85</v>
      </c>
      <c r="C25">
        <f>+'2015_3di6'!L26</f>
        <v>30</v>
      </c>
      <c r="D25">
        <f>+'2015_4di6'!D26</f>
        <v>44.6</v>
      </c>
      <c r="E25">
        <f>+'2015_4di6'!H26</f>
        <v>46.8</v>
      </c>
      <c r="F25">
        <f>+'2015_4di6'!L26</f>
        <v>16.600000000000001</v>
      </c>
      <c r="G25">
        <f>+'2015_5di6'!H26</f>
        <v>27.2</v>
      </c>
      <c r="H25" s="61">
        <f t="shared" si="0"/>
        <v>41.699999999999996</v>
      </c>
      <c r="L25" s="60"/>
      <c r="M25">
        <f>+'2015_2di6'!H26</f>
        <v>36.799999999999997</v>
      </c>
      <c r="N25">
        <f>+'2015_2di6'!L26</f>
        <v>41.9</v>
      </c>
      <c r="O25">
        <f>+'2015_3di6'!D26</f>
        <v>41.2</v>
      </c>
      <c r="P25" s="61">
        <f t="shared" si="1"/>
        <v>39.966666666666661</v>
      </c>
      <c r="Q25">
        <f>+'2015_5di6'!L26</f>
        <v>64.400000000000006</v>
      </c>
      <c r="R25">
        <f>+'2015_6di6'!D26</f>
        <v>16.5</v>
      </c>
      <c r="S25">
        <f>+'2015_6di6'!H26</f>
        <v>22.5</v>
      </c>
      <c r="T25" s="61">
        <f t="shared" si="2"/>
        <v>34.466666666666669</v>
      </c>
      <c r="V25" s="61">
        <f>+'2015_5di6'!D26</f>
        <v>17.100000000000001</v>
      </c>
    </row>
    <row r="26" spans="1:26" x14ac:dyDescent="0.3">
      <c r="A26" s="66" t="str">
        <f>+'2015_1di6'!A27</f>
        <v>Sardegna</v>
      </c>
      <c r="C26">
        <f>+'2015_3di6'!L27</f>
        <v>22.4</v>
      </c>
      <c r="E26">
        <f>+'2015_4di6'!H27</f>
        <v>44</v>
      </c>
      <c r="G26">
        <f>+'2015_5di6'!H27</f>
        <v>4.3</v>
      </c>
      <c r="H26" s="61">
        <f>+AVERAGE(B26:G26)</f>
        <v>23.566666666666666</v>
      </c>
      <c r="L26" s="60"/>
      <c r="M26">
        <f>+'2015_2di6'!H27</f>
        <v>46</v>
      </c>
      <c r="N26">
        <f>+'2015_2di6'!L27</f>
        <v>27.8</v>
      </c>
      <c r="O26">
        <f>+'2015_3di6'!D27</f>
        <v>35.200000000000003</v>
      </c>
      <c r="P26" s="61">
        <f t="shared" si="1"/>
        <v>36.333333333333336</v>
      </c>
      <c r="Q26">
        <f>+'2015_5di6'!L27</f>
        <v>37.6</v>
      </c>
      <c r="R26">
        <f>+'2015_6di6'!D27</f>
        <v>25.9</v>
      </c>
      <c r="S26">
        <f>+'2015_6di6'!H27</f>
        <v>12</v>
      </c>
      <c r="T26" s="61">
        <f t="shared" si="2"/>
        <v>25.166666666666668</v>
      </c>
      <c r="V26" s="61">
        <f>+'2015_5di6'!D27</f>
        <v>20.7</v>
      </c>
    </row>
    <row r="27" spans="1:26" x14ac:dyDescent="0.3">
      <c r="A27" s="66" t="str">
        <f>+'2015_1di6'!A28</f>
        <v>Italia</v>
      </c>
      <c r="B27">
        <f>+'2015_3di6'!H28</f>
        <v>106.2</v>
      </c>
      <c r="C27">
        <f>+'2015_3di6'!L28</f>
        <v>34.200000000000003</v>
      </c>
      <c r="D27">
        <f>+'2015_4di6'!D28</f>
        <v>49.7</v>
      </c>
      <c r="E27">
        <f>+'2015_4di6'!H28</f>
        <v>62</v>
      </c>
      <c r="F27">
        <f>+'2015_4di6'!L28</f>
        <v>40.9</v>
      </c>
      <c r="G27">
        <f>+'2015_5di6'!H28</f>
        <v>42.2</v>
      </c>
      <c r="H27" s="61">
        <f>+AVERAGE(B27:G27)</f>
        <v>55.866666666666667</v>
      </c>
      <c r="I27">
        <f>+'2015_1di6'!D28</f>
        <v>59</v>
      </c>
      <c r="J27">
        <f>+'2015_1di6'!H28</f>
        <v>109.3</v>
      </c>
      <c r="K27">
        <f>+'2015_1di6'!L28</f>
        <v>131.19999999999999</v>
      </c>
      <c r="L27" s="60">
        <f>+'2015_2di6'!D28</f>
        <v>65</v>
      </c>
      <c r="M27">
        <f>+'2015_2di6'!H28</f>
        <v>75.400000000000006</v>
      </c>
      <c r="N27">
        <f>+'2015_2di6'!L28</f>
        <v>43.7</v>
      </c>
      <c r="O27">
        <f>+'2015_3di6'!D28</f>
        <v>66.3</v>
      </c>
      <c r="P27" s="61">
        <f t="shared" si="1"/>
        <v>78.55714285714285</v>
      </c>
      <c r="Q27">
        <f>+'2015_5di6'!L28</f>
        <v>45.9</v>
      </c>
      <c r="R27">
        <f>+'2015_6di6'!D28</f>
        <v>26.9</v>
      </c>
      <c r="S27">
        <f>+'2015_6di6'!H28</f>
        <v>17.8</v>
      </c>
      <c r="T27" s="61">
        <f t="shared" si="2"/>
        <v>30.2</v>
      </c>
      <c r="V27" s="61">
        <f>+'2015_5di6'!D28</f>
        <v>36.700000000000003</v>
      </c>
      <c r="W27" s="46"/>
      <c r="X27" s="46"/>
      <c r="Y27" s="46"/>
      <c r="Z27" s="46"/>
    </row>
    <row r="28" spans="1:26" x14ac:dyDescent="0.3">
      <c r="L28" s="60"/>
    </row>
    <row r="29" spans="1:26" x14ac:dyDescent="0.3">
      <c r="L29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"/>
  <sheetViews>
    <sheetView topLeftCell="A11" zoomScaleNormal="100" workbookViewId="0">
      <selection activeCell="K21" sqref="K21"/>
    </sheetView>
  </sheetViews>
  <sheetFormatPr defaultRowHeight="15" customHeight="1" x14ac:dyDescent="0.3"/>
  <cols>
    <col min="1" max="1" width="20.69140625" customWidth="1"/>
    <col min="2" max="2" width="10.69140625" customWidth="1"/>
    <col min="3" max="3" width="7.69140625" customWidth="1"/>
    <col min="4" max="4" width="10.69140625" style="30" customWidth="1"/>
    <col min="5" max="5" width="7.69140625" customWidth="1"/>
    <col min="6" max="6" width="10.69140625" customWidth="1"/>
    <col min="7" max="7" width="7.69140625" customWidth="1"/>
    <col min="8" max="8" width="10.69140625" style="30" customWidth="1"/>
    <col min="9" max="9" width="7.69140625" customWidth="1"/>
    <col min="10" max="10" width="10.69140625" customWidth="1"/>
    <col min="11" max="11" width="7.69140625" customWidth="1"/>
    <col min="12" max="12" width="10.69140625" style="30" customWidth="1"/>
    <col min="13" max="13" width="7.69140625" customWidth="1"/>
  </cols>
  <sheetData>
    <row r="1" spans="1:13" ht="30" customHeight="1" x14ac:dyDescent="0.3">
      <c r="A1" s="74" t="s">
        <v>49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15" customHeight="1" thickBot="1" x14ac:dyDescent="0.35"/>
    <row r="3" spans="1:13" ht="15" customHeight="1" x14ac:dyDescent="0.3">
      <c r="A3" s="67" t="s">
        <v>48</v>
      </c>
      <c r="B3" s="70" t="s">
        <v>45</v>
      </c>
      <c r="C3" s="71"/>
      <c r="D3" s="71"/>
      <c r="E3" s="72"/>
      <c r="F3" s="70" t="s">
        <v>46</v>
      </c>
      <c r="G3" s="71"/>
      <c r="H3" s="71"/>
      <c r="I3" s="72"/>
      <c r="J3" s="70" t="s">
        <v>47</v>
      </c>
      <c r="K3" s="71"/>
      <c r="L3" s="71"/>
      <c r="M3" s="73"/>
    </row>
    <row r="4" spans="1:13" ht="15" customHeight="1" x14ac:dyDescent="0.3">
      <c r="A4" s="68"/>
      <c r="B4" s="75" t="s">
        <v>0</v>
      </c>
      <c r="C4" s="76"/>
      <c r="D4" s="76"/>
      <c r="E4" s="77"/>
      <c r="F4" s="75" t="s">
        <v>1</v>
      </c>
      <c r="G4" s="76"/>
      <c r="H4" s="76"/>
      <c r="I4" s="77"/>
      <c r="J4" s="75" t="s">
        <v>2</v>
      </c>
      <c r="K4" s="76"/>
      <c r="L4" s="76"/>
      <c r="M4" s="78"/>
    </row>
    <row r="5" spans="1:13" s="3" customFormat="1" ht="15" customHeight="1" x14ac:dyDescent="0.3">
      <c r="A5" s="68"/>
      <c r="B5" s="1" t="s">
        <v>3</v>
      </c>
      <c r="C5" s="50" t="s">
        <v>4</v>
      </c>
      <c r="D5" s="51" t="s">
        <v>3</v>
      </c>
      <c r="E5" s="2" t="s">
        <v>4</v>
      </c>
      <c r="F5" s="1" t="s">
        <v>3</v>
      </c>
      <c r="G5" s="50" t="s">
        <v>4</v>
      </c>
      <c r="H5" s="51" t="s">
        <v>3</v>
      </c>
      <c r="I5" s="2" t="s">
        <v>4</v>
      </c>
      <c r="J5" s="1" t="s">
        <v>3</v>
      </c>
      <c r="K5" s="50" t="s">
        <v>4</v>
      </c>
      <c r="L5" s="51" t="s">
        <v>3</v>
      </c>
      <c r="M5" s="8" t="s">
        <v>4</v>
      </c>
    </row>
    <row r="6" spans="1:13" s="3" customFormat="1" ht="15" customHeight="1" thickBot="1" x14ac:dyDescent="0.35">
      <c r="A6" s="69"/>
      <c r="B6" s="4" t="s">
        <v>5</v>
      </c>
      <c r="C6" s="5" t="s">
        <v>6</v>
      </c>
      <c r="D6" s="31" t="s">
        <v>7</v>
      </c>
      <c r="E6" s="6" t="s">
        <v>6</v>
      </c>
      <c r="F6" s="4" t="s">
        <v>5</v>
      </c>
      <c r="G6" s="5" t="s">
        <v>6</v>
      </c>
      <c r="H6" s="31" t="s">
        <v>7</v>
      </c>
      <c r="I6" s="6" t="s">
        <v>6</v>
      </c>
      <c r="J6" s="4" t="s">
        <v>5</v>
      </c>
      <c r="K6" s="5" t="s">
        <v>6</v>
      </c>
      <c r="L6" s="31" t="s">
        <v>7</v>
      </c>
      <c r="M6" s="7" t="s">
        <v>6</v>
      </c>
    </row>
    <row r="7" spans="1:13" ht="15" customHeight="1" x14ac:dyDescent="0.3">
      <c r="A7" s="9" t="s">
        <v>8</v>
      </c>
      <c r="B7" s="10">
        <v>3806271</v>
      </c>
      <c r="C7" s="11">
        <v>11.9</v>
      </c>
      <c r="D7" s="12">
        <v>47.5</v>
      </c>
      <c r="E7" s="52" t="s">
        <v>9</v>
      </c>
      <c r="F7" s="10">
        <v>2016832</v>
      </c>
      <c r="G7" s="11">
        <v>19.2</v>
      </c>
      <c r="H7" s="12">
        <v>110.9</v>
      </c>
      <c r="I7" s="52" t="s">
        <v>9</v>
      </c>
      <c r="J7" s="10">
        <v>1564840</v>
      </c>
      <c r="K7" s="11">
        <v>19.399999999999999</v>
      </c>
      <c r="L7" s="12">
        <v>110.7</v>
      </c>
      <c r="M7" s="14" t="s">
        <v>9</v>
      </c>
    </row>
    <row r="8" spans="1:13" ht="15" customHeight="1" x14ac:dyDescent="0.3">
      <c r="A8" s="15" t="s">
        <v>10</v>
      </c>
      <c r="B8" s="16">
        <v>2412492</v>
      </c>
      <c r="C8" s="17">
        <v>12.8</v>
      </c>
      <c r="D8" s="18">
        <v>50.6</v>
      </c>
      <c r="E8" s="53" t="s">
        <v>9</v>
      </c>
      <c r="F8" s="16">
        <v>1499824</v>
      </c>
      <c r="G8" s="17">
        <v>16.600000000000001</v>
      </c>
      <c r="H8" s="18">
        <v>82.3</v>
      </c>
      <c r="I8" s="53" t="s">
        <v>9</v>
      </c>
      <c r="J8" s="16">
        <v>98535</v>
      </c>
      <c r="K8" s="17">
        <v>60.1</v>
      </c>
      <c r="L8" s="18">
        <v>85.2</v>
      </c>
      <c r="M8" s="20" t="s">
        <v>9</v>
      </c>
    </row>
    <row r="9" spans="1:13" ht="15" customHeight="1" x14ac:dyDescent="0.3">
      <c r="A9" s="15" t="s">
        <v>11</v>
      </c>
      <c r="B9" s="16">
        <v>3767911</v>
      </c>
      <c r="C9" s="17">
        <v>13.9</v>
      </c>
      <c r="D9" s="18">
        <v>70.5</v>
      </c>
      <c r="E9" s="53" t="s">
        <v>9</v>
      </c>
      <c r="F9" s="16">
        <v>8955503</v>
      </c>
      <c r="G9" s="17">
        <v>10.199999999999999</v>
      </c>
      <c r="H9" s="18">
        <v>101.9</v>
      </c>
      <c r="I9" s="53" t="s">
        <v>9</v>
      </c>
      <c r="J9" s="16">
        <v>1191958</v>
      </c>
      <c r="K9" s="17">
        <v>24.3</v>
      </c>
      <c r="L9" s="18">
        <v>126.6</v>
      </c>
      <c r="M9" s="20" t="s">
        <v>9</v>
      </c>
    </row>
    <row r="10" spans="1:13" ht="15" customHeight="1" x14ac:dyDescent="0.3">
      <c r="A10" s="15" t="s">
        <v>12</v>
      </c>
      <c r="B10" s="16">
        <v>6553956</v>
      </c>
      <c r="C10" s="17">
        <v>10.199999999999999</v>
      </c>
      <c r="D10" s="18">
        <v>70</v>
      </c>
      <c r="E10" s="53" t="s">
        <v>9</v>
      </c>
      <c r="F10" s="16">
        <v>19016918</v>
      </c>
      <c r="G10" s="17">
        <v>6.2</v>
      </c>
      <c r="H10" s="18">
        <v>106.6</v>
      </c>
      <c r="I10" s="53" t="s">
        <v>9</v>
      </c>
      <c r="J10" s="16">
        <v>320537</v>
      </c>
      <c r="K10" s="17">
        <v>39.9</v>
      </c>
      <c r="L10" s="18">
        <v>121.1</v>
      </c>
      <c r="M10" s="20" t="s">
        <v>9</v>
      </c>
    </row>
    <row r="11" spans="1:13" ht="15" customHeight="1" x14ac:dyDescent="0.3">
      <c r="A11" s="15" t="s">
        <v>13</v>
      </c>
      <c r="B11" s="16">
        <v>3455139</v>
      </c>
      <c r="C11" s="17">
        <v>13.8</v>
      </c>
      <c r="D11" s="18">
        <v>55.6</v>
      </c>
      <c r="E11" s="53" t="s">
        <v>9</v>
      </c>
      <c r="F11" s="16">
        <v>15721138</v>
      </c>
      <c r="G11" s="17">
        <v>7.6</v>
      </c>
      <c r="H11" s="18">
        <v>114.9</v>
      </c>
      <c r="I11" s="53" t="s">
        <v>9</v>
      </c>
      <c r="J11" s="16">
        <v>2190022</v>
      </c>
      <c r="K11" s="17">
        <v>17.8</v>
      </c>
      <c r="L11" s="18">
        <v>135</v>
      </c>
      <c r="M11" s="20" t="s">
        <v>9</v>
      </c>
    </row>
    <row r="12" spans="1:13" ht="15" customHeight="1" x14ac:dyDescent="0.3">
      <c r="A12" s="15" t="s">
        <v>14</v>
      </c>
      <c r="B12" s="16">
        <v>2677916</v>
      </c>
      <c r="C12" s="17">
        <v>16.399999999999999</v>
      </c>
      <c r="D12" s="18">
        <v>63.2</v>
      </c>
      <c r="E12" s="53" t="s">
        <v>9</v>
      </c>
      <c r="F12" s="16">
        <v>10335985</v>
      </c>
      <c r="G12" s="17">
        <v>8.3000000000000007</v>
      </c>
      <c r="H12" s="18">
        <v>106.4</v>
      </c>
      <c r="I12" s="53" t="s">
        <v>9</v>
      </c>
      <c r="J12" s="16">
        <v>1016675</v>
      </c>
      <c r="K12" s="17">
        <v>24</v>
      </c>
      <c r="L12" s="18">
        <v>143.1</v>
      </c>
      <c r="M12" s="20" t="s">
        <v>9</v>
      </c>
    </row>
    <row r="13" spans="1:13" ht="15" customHeight="1" x14ac:dyDescent="0.3">
      <c r="A13" s="15" t="s">
        <v>15</v>
      </c>
      <c r="B13" s="16">
        <v>484070</v>
      </c>
      <c r="C13" s="17">
        <v>34.799999999999997</v>
      </c>
      <c r="D13" s="18">
        <v>37.299999999999997</v>
      </c>
      <c r="E13" s="53" t="s">
        <v>9</v>
      </c>
      <c r="F13" s="16">
        <v>5865216</v>
      </c>
      <c r="G13" s="17">
        <v>12.4</v>
      </c>
      <c r="H13" s="18">
        <v>131.5</v>
      </c>
      <c r="I13" s="53" t="s">
        <v>9</v>
      </c>
      <c r="J13" s="16">
        <v>353912</v>
      </c>
      <c r="K13" s="17">
        <v>48.5</v>
      </c>
      <c r="L13" s="18">
        <v>190.5</v>
      </c>
      <c r="M13" s="20" t="s">
        <v>9</v>
      </c>
    </row>
    <row r="14" spans="1:13" ht="15" customHeight="1" x14ac:dyDescent="0.3">
      <c r="A14" s="15" t="s">
        <v>16</v>
      </c>
      <c r="B14" s="16">
        <v>50963</v>
      </c>
      <c r="C14" s="17">
        <v>64.8</v>
      </c>
      <c r="D14" s="18">
        <v>46.4</v>
      </c>
      <c r="E14" s="53" t="s">
        <v>9</v>
      </c>
      <c r="F14" s="16">
        <v>25353</v>
      </c>
      <c r="G14" s="54">
        <v>100</v>
      </c>
      <c r="H14" s="18">
        <v>69.2</v>
      </c>
      <c r="I14" s="53" t="s">
        <v>9</v>
      </c>
      <c r="J14" s="16">
        <v>377761</v>
      </c>
      <c r="K14" s="17">
        <v>37.1</v>
      </c>
      <c r="L14" s="18">
        <v>128.80000000000001</v>
      </c>
      <c r="M14" s="20" t="s">
        <v>9</v>
      </c>
    </row>
    <row r="15" spans="1:13" ht="15" customHeight="1" x14ac:dyDescent="0.3">
      <c r="A15" s="15" t="s">
        <v>17</v>
      </c>
      <c r="B15" s="16">
        <v>0</v>
      </c>
      <c r="C15" s="54" t="s">
        <v>9</v>
      </c>
      <c r="D15" s="18">
        <v>0</v>
      </c>
      <c r="E15" s="54" t="s">
        <v>9</v>
      </c>
      <c r="F15" s="16">
        <v>455207</v>
      </c>
      <c r="G15" s="17">
        <v>32.799999999999997</v>
      </c>
      <c r="H15" s="18">
        <v>123.6</v>
      </c>
      <c r="I15" s="54" t="s">
        <v>9</v>
      </c>
      <c r="J15" s="16">
        <v>545830</v>
      </c>
      <c r="K15" s="17">
        <v>38.799999999999997</v>
      </c>
      <c r="L15" s="18">
        <v>185.2</v>
      </c>
      <c r="M15" s="20" t="s">
        <v>9</v>
      </c>
    </row>
    <row r="16" spans="1:13" ht="15" customHeight="1" x14ac:dyDescent="0.3">
      <c r="A16" s="15" t="s">
        <v>18</v>
      </c>
      <c r="B16" s="16">
        <v>0</v>
      </c>
      <c r="C16" s="54" t="s">
        <v>9</v>
      </c>
      <c r="D16" s="18">
        <v>0</v>
      </c>
      <c r="E16" s="54" t="s">
        <v>9</v>
      </c>
      <c r="F16" s="16">
        <v>63765</v>
      </c>
      <c r="G16" s="17">
        <v>100</v>
      </c>
      <c r="H16" s="18">
        <v>176.5</v>
      </c>
      <c r="I16" s="54" t="s">
        <v>9</v>
      </c>
      <c r="J16" s="16">
        <v>800220</v>
      </c>
      <c r="K16" s="17">
        <v>30.8</v>
      </c>
      <c r="L16" s="18">
        <v>158.19999999999999</v>
      </c>
      <c r="M16" s="20" t="s">
        <v>9</v>
      </c>
    </row>
    <row r="17" spans="1:13" ht="15" customHeight="1" x14ac:dyDescent="0.3">
      <c r="A17" s="15" t="s">
        <v>19</v>
      </c>
      <c r="B17" s="16">
        <v>0</v>
      </c>
      <c r="C17" s="54" t="s">
        <v>9</v>
      </c>
      <c r="D17" s="18">
        <v>0</v>
      </c>
      <c r="E17" s="54" t="s">
        <v>9</v>
      </c>
      <c r="F17" s="16">
        <v>0</v>
      </c>
      <c r="G17" s="54" t="s">
        <v>9</v>
      </c>
      <c r="H17" s="18">
        <v>0</v>
      </c>
      <c r="I17" s="54" t="s">
        <v>9</v>
      </c>
      <c r="J17" s="16">
        <v>0</v>
      </c>
      <c r="K17" s="54" t="s">
        <v>9</v>
      </c>
      <c r="L17" s="18">
        <v>0</v>
      </c>
      <c r="M17" s="20" t="s">
        <v>9</v>
      </c>
    </row>
    <row r="18" spans="1:13" ht="15" customHeight="1" x14ac:dyDescent="0.3">
      <c r="A18" s="15" t="s">
        <v>20</v>
      </c>
      <c r="B18" s="16">
        <v>0</v>
      </c>
      <c r="C18" s="54" t="s">
        <v>9</v>
      </c>
      <c r="D18" s="18">
        <v>0</v>
      </c>
      <c r="E18" s="54" t="s">
        <v>9</v>
      </c>
      <c r="F18" s="16">
        <v>20273</v>
      </c>
      <c r="G18" s="17">
        <v>100</v>
      </c>
      <c r="H18" s="18">
        <v>54.7</v>
      </c>
      <c r="I18" s="54" t="s">
        <v>9</v>
      </c>
      <c r="J18" s="16">
        <v>0</v>
      </c>
      <c r="K18" s="54" t="s">
        <v>9</v>
      </c>
      <c r="L18" s="18">
        <v>0</v>
      </c>
      <c r="M18" s="20" t="s">
        <v>9</v>
      </c>
    </row>
    <row r="19" spans="1:13" ht="15" customHeight="1" x14ac:dyDescent="0.3">
      <c r="A19" s="15" t="s">
        <v>21</v>
      </c>
      <c r="B19" s="16">
        <v>0</v>
      </c>
      <c r="C19" s="54" t="s">
        <v>9</v>
      </c>
      <c r="D19" s="18">
        <v>0</v>
      </c>
      <c r="E19" s="54" t="s">
        <v>9</v>
      </c>
      <c r="F19" s="16">
        <v>89978</v>
      </c>
      <c r="G19" s="17">
        <v>100</v>
      </c>
      <c r="H19" s="18">
        <v>244.2</v>
      </c>
      <c r="I19" s="54" t="s">
        <v>9</v>
      </c>
      <c r="J19" s="16">
        <v>0</v>
      </c>
      <c r="K19" s="54" t="s">
        <v>9</v>
      </c>
      <c r="L19" s="18">
        <v>0</v>
      </c>
      <c r="M19" s="20" t="s">
        <v>9</v>
      </c>
    </row>
    <row r="20" spans="1:13" ht="15" customHeight="1" x14ac:dyDescent="0.3">
      <c r="A20" s="15" t="s">
        <v>22</v>
      </c>
      <c r="B20" s="16">
        <v>0</v>
      </c>
      <c r="C20" s="54" t="s">
        <v>9</v>
      </c>
      <c r="D20" s="18">
        <v>0</v>
      </c>
      <c r="E20" s="54" t="s">
        <v>9</v>
      </c>
      <c r="F20" s="16">
        <v>32299</v>
      </c>
      <c r="G20" s="17">
        <v>100</v>
      </c>
      <c r="H20" s="18">
        <v>89.2</v>
      </c>
      <c r="I20" s="54" t="s">
        <v>9</v>
      </c>
      <c r="J20" s="16">
        <v>95657</v>
      </c>
      <c r="K20" s="17">
        <v>71.099999999999994</v>
      </c>
      <c r="L20" s="18">
        <v>132.1</v>
      </c>
      <c r="M20" s="20" t="s">
        <v>9</v>
      </c>
    </row>
    <row r="21" spans="1:13" ht="15" customHeight="1" x14ac:dyDescent="0.3">
      <c r="A21" s="15" t="s">
        <v>23</v>
      </c>
      <c r="B21" s="16">
        <v>0</v>
      </c>
      <c r="C21" s="54" t="s">
        <v>9</v>
      </c>
      <c r="D21" s="18">
        <v>0</v>
      </c>
      <c r="E21" s="54" t="s">
        <v>9</v>
      </c>
      <c r="F21" s="16">
        <v>0</v>
      </c>
      <c r="G21" s="54" t="s">
        <v>9</v>
      </c>
      <c r="H21" s="18">
        <v>0</v>
      </c>
      <c r="I21" s="54" t="s">
        <v>9</v>
      </c>
      <c r="J21" s="16">
        <v>124314</v>
      </c>
      <c r="K21" s="17">
        <v>62.1</v>
      </c>
      <c r="L21" s="18">
        <v>106.1</v>
      </c>
      <c r="M21" s="20" t="s">
        <v>9</v>
      </c>
    </row>
    <row r="22" spans="1:13" ht="15" customHeight="1" x14ac:dyDescent="0.3">
      <c r="A22" s="15" t="s">
        <v>24</v>
      </c>
      <c r="B22" s="16">
        <v>0</v>
      </c>
      <c r="C22" s="54" t="s">
        <v>9</v>
      </c>
      <c r="D22" s="18">
        <v>0</v>
      </c>
      <c r="E22" s="54" t="s">
        <v>9</v>
      </c>
      <c r="F22" s="16">
        <v>0</v>
      </c>
      <c r="G22" s="54" t="s">
        <v>9</v>
      </c>
      <c r="H22" s="18">
        <v>0</v>
      </c>
      <c r="I22" s="54" t="s">
        <v>9</v>
      </c>
      <c r="J22" s="16">
        <v>0</v>
      </c>
      <c r="K22" s="54" t="s">
        <v>9</v>
      </c>
      <c r="L22" s="18">
        <v>0</v>
      </c>
      <c r="M22" s="20" t="s">
        <v>9</v>
      </c>
    </row>
    <row r="23" spans="1:13" ht="15" customHeight="1" x14ac:dyDescent="0.3">
      <c r="A23" s="15" t="s">
        <v>25</v>
      </c>
      <c r="B23" s="16">
        <v>0</v>
      </c>
      <c r="C23" s="54" t="s">
        <v>9</v>
      </c>
      <c r="D23" s="18">
        <v>0</v>
      </c>
      <c r="E23" s="54" t="s">
        <v>9</v>
      </c>
      <c r="F23" s="16">
        <v>0</v>
      </c>
      <c r="G23" s="54" t="s">
        <v>9</v>
      </c>
      <c r="H23" s="18">
        <v>0</v>
      </c>
      <c r="I23" s="54" t="s">
        <v>9</v>
      </c>
      <c r="J23" s="16">
        <v>0</v>
      </c>
      <c r="K23" s="54" t="s">
        <v>9</v>
      </c>
      <c r="L23" s="18">
        <v>0</v>
      </c>
      <c r="M23" s="20" t="s">
        <v>9</v>
      </c>
    </row>
    <row r="24" spans="1:13" ht="15" customHeight="1" x14ac:dyDescent="0.3">
      <c r="A24" s="15" t="s">
        <v>26</v>
      </c>
      <c r="B24" s="16">
        <v>0</v>
      </c>
      <c r="C24" s="54" t="s">
        <v>9</v>
      </c>
      <c r="D24" s="18">
        <v>0</v>
      </c>
      <c r="E24" s="54" t="s">
        <v>9</v>
      </c>
      <c r="F24" s="16">
        <v>0</v>
      </c>
      <c r="G24" s="54" t="s">
        <v>9</v>
      </c>
      <c r="H24" s="18">
        <v>0</v>
      </c>
      <c r="I24" s="54" t="s">
        <v>9</v>
      </c>
      <c r="J24" s="16">
        <v>89546</v>
      </c>
      <c r="K24" s="17">
        <v>75.599999999999994</v>
      </c>
      <c r="L24" s="18">
        <v>120.1</v>
      </c>
      <c r="M24" s="20" t="s">
        <v>9</v>
      </c>
    </row>
    <row r="25" spans="1:13" ht="15" customHeight="1" x14ac:dyDescent="0.3">
      <c r="A25" s="15" t="s">
        <v>27</v>
      </c>
      <c r="B25" s="16">
        <v>0</v>
      </c>
      <c r="C25" s="54" t="s">
        <v>9</v>
      </c>
      <c r="D25" s="18">
        <v>0</v>
      </c>
      <c r="E25" s="54" t="s">
        <v>9</v>
      </c>
      <c r="F25" s="16">
        <v>0</v>
      </c>
      <c r="G25" s="54" t="s">
        <v>9</v>
      </c>
      <c r="H25" s="18">
        <v>0</v>
      </c>
      <c r="I25" s="54" t="s">
        <v>9</v>
      </c>
      <c r="J25" s="16">
        <v>391720</v>
      </c>
      <c r="K25" s="17">
        <v>34.799999999999997</v>
      </c>
      <c r="L25" s="18">
        <v>105</v>
      </c>
      <c r="M25" s="20" t="s">
        <v>9</v>
      </c>
    </row>
    <row r="26" spans="1:13" ht="15" customHeight="1" x14ac:dyDescent="0.3">
      <c r="A26" s="15" t="s">
        <v>28</v>
      </c>
      <c r="B26" s="16">
        <v>0</v>
      </c>
      <c r="C26" s="54" t="s">
        <v>9</v>
      </c>
      <c r="D26" s="18">
        <v>0</v>
      </c>
      <c r="E26" s="54" t="s">
        <v>9</v>
      </c>
      <c r="F26" s="16">
        <v>0</v>
      </c>
      <c r="G26" s="54" t="s">
        <v>9</v>
      </c>
      <c r="H26" s="18">
        <v>0</v>
      </c>
      <c r="I26" s="54" t="s">
        <v>9</v>
      </c>
      <c r="J26" s="16">
        <v>0</v>
      </c>
      <c r="K26" s="54" t="s">
        <v>9</v>
      </c>
      <c r="L26" s="18">
        <v>0</v>
      </c>
      <c r="M26" s="20" t="s">
        <v>9</v>
      </c>
    </row>
    <row r="27" spans="1:13" ht="15" customHeight="1" thickBot="1" x14ac:dyDescent="0.35">
      <c r="A27" s="21" t="s">
        <v>29</v>
      </c>
      <c r="B27" s="22">
        <v>0</v>
      </c>
      <c r="C27" s="55" t="s">
        <v>9</v>
      </c>
      <c r="D27" s="37">
        <v>0</v>
      </c>
      <c r="E27" s="55" t="s">
        <v>9</v>
      </c>
      <c r="F27" s="22">
        <v>0</v>
      </c>
      <c r="G27" s="55" t="s">
        <v>9</v>
      </c>
      <c r="H27" s="37">
        <v>0</v>
      </c>
      <c r="I27" s="55" t="s">
        <v>9</v>
      </c>
      <c r="J27" s="22">
        <v>0</v>
      </c>
      <c r="K27" s="55" t="s">
        <v>9</v>
      </c>
      <c r="L27" s="37">
        <v>0</v>
      </c>
      <c r="M27" s="56" t="s">
        <v>9</v>
      </c>
    </row>
    <row r="28" spans="1:13" ht="15" customHeight="1" thickBot="1" x14ac:dyDescent="0.35">
      <c r="A28" s="23" t="s">
        <v>30</v>
      </c>
      <c r="B28" s="24">
        <v>23208719</v>
      </c>
      <c r="C28" s="25">
        <v>5.2</v>
      </c>
      <c r="D28" s="26">
        <v>59</v>
      </c>
      <c r="E28" s="27">
        <v>4.4000000000000004</v>
      </c>
      <c r="F28" s="24">
        <v>64098294</v>
      </c>
      <c r="G28" s="25">
        <v>3.5</v>
      </c>
      <c r="H28" s="26">
        <v>109.3</v>
      </c>
      <c r="I28" s="27">
        <v>2.9</v>
      </c>
      <c r="J28" s="28">
        <v>9161527</v>
      </c>
      <c r="K28" s="25">
        <v>8.4</v>
      </c>
      <c r="L28" s="26">
        <v>131.19999999999999</v>
      </c>
      <c r="M28" s="29">
        <v>4.2</v>
      </c>
    </row>
    <row r="29" spans="1:13" s="57" customFormat="1" ht="15" customHeight="1" x14ac:dyDescent="0.3">
      <c r="B29" s="58"/>
      <c r="D29" s="59"/>
      <c r="F29" s="58"/>
      <c r="H29" s="59"/>
      <c r="J29" s="58"/>
      <c r="L29" s="59"/>
    </row>
    <row r="30" spans="1:13" ht="15" customHeight="1" x14ac:dyDescent="0.3">
      <c r="A30" t="s">
        <v>73</v>
      </c>
    </row>
    <row r="31" spans="1:13" ht="15" customHeight="1" x14ac:dyDescent="0.3">
      <c r="A31" t="s">
        <v>74</v>
      </c>
    </row>
  </sheetData>
  <mergeCells count="8">
    <mergeCell ref="A3:A6"/>
    <mergeCell ref="B3:E3"/>
    <mergeCell ref="F3:I3"/>
    <mergeCell ref="J3:M3"/>
    <mergeCell ref="A1:M1"/>
    <mergeCell ref="B4:E4"/>
    <mergeCell ref="F4:I4"/>
    <mergeCell ref="J4:M4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4" orientation="landscape" horizontalDpi="360" verticalDpi="360" r:id="rId1"/>
  <headerFooter alignWithMargins="0">
    <oddHeader>&amp;CNational Inventory of Forests and Forest Carbon Pools - Inventario Nazionale delle Foreste e dei serbatoi forestali di Carbonio
INFC2015</oddHeader>
    <oddFooter>&amp;CArma dei Carabinieri - Consiglio per la ricerca in agricoltura e l'analisi dell'economia agraria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1"/>
  <sheetViews>
    <sheetView topLeftCell="A8" zoomScale="90" zoomScaleNormal="90" workbookViewId="0">
      <selection activeCell="B28" sqref="B28"/>
    </sheetView>
  </sheetViews>
  <sheetFormatPr defaultRowHeight="15" customHeight="1" x14ac:dyDescent="0.3"/>
  <cols>
    <col min="1" max="1" width="20.69140625" customWidth="1"/>
    <col min="2" max="2" width="10.69140625" customWidth="1"/>
    <col min="3" max="3" width="7.69140625" customWidth="1"/>
    <col min="4" max="4" width="10.69140625" style="30" customWidth="1"/>
    <col min="5" max="5" width="7.69140625" customWidth="1"/>
    <col min="6" max="6" width="10.69140625" customWidth="1"/>
    <col min="7" max="7" width="7.69140625" customWidth="1"/>
    <col min="8" max="8" width="10.69140625" style="30" customWidth="1"/>
    <col min="9" max="9" width="7.69140625" customWidth="1"/>
    <col min="10" max="10" width="10.69140625" customWidth="1"/>
    <col min="11" max="11" width="7.69140625" customWidth="1"/>
    <col min="12" max="12" width="10.69140625" style="30" customWidth="1"/>
    <col min="13" max="13" width="7.69140625" customWidth="1"/>
  </cols>
  <sheetData>
    <row r="1" spans="1:13" ht="30" customHeight="1" x14ac:dyDescent="0.3">
      <c r="A1" s="74" t="s">
        <v>50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15" customHeight="1" thickBot="1" x14ac:dyDescent="0.35"/>
    <row r="3" spans="1:13" ht="15" customHeight="1" x14ac:dyDescent="0.3">
      <c r="A3" s="67" t="s">
        <v>48</v>
      </c>
      <c r="B3" s="70" t="s">
        <v>55</v>
      </c>
      <c r="C3" s="71"/>
      <c r="D3" s="71"/>
      <c r="E3" s="72"/>
      <c r="F3" s="70" t="s">
        <v>56</v>
      </c>
      <c r="G3" s="71"/>
      <c r="H3" s="71"/>
      <c r="I3" s="72"/>
      <c r="J3" s="70" t="s">
        <v>57</v>
      </c>
      <c r="K3" s="71"/>
      <c r="L3" s="71"/>
      <c r="M3" s="73"/>
    </row>
    <row r="4" spans="1:13" ht="15" customHeight="1" x14ac:dyDescent="0.3">
      <c r="A4" s="68"/>
      <c r="B4" s="75" t="s">
        <v>31</v>
      </c>
      <c r="C4" s="76"/>
      <c r="D4" s="76"/>
      <c r="E4" s="77"/>
      <c r="F4" s="75" t="s">
        <v>32</v>
      </c>
      <c r="G4" s="76"/>
      <c r="H4" s="76"/>
      <c r="I4" s="77"/>
      <c r="J4" s="75" t="s">
        <v>33</v>
      </c>
      <c r="K4" s="76"/>
      <c r="L4" s="76"/>
      <c r="M4" s="78"/>
    </row>
    <row r="5" spans="1:13" s="3" customFormat="1" ht="15" customHeight="1" x14ac:dyDescent="0.3">
      <c r="A5" s="68"/>
      <c r="B5" s="1" t="s">
        <v>3</v>
      </c>
      <c r="C5" s="50" t="s">
        <v>4</v>
      </c>
      <c r="D5" s="51" t="s">
        <v>3</v>
      </c>
      <c r="E5" s="2" t="s">
        <v>4</v>
      </c>
      <c r="F5" s="1" t="s">
        <v>3</v>
      </c>
      <c r="G5" s="50" t="s">
        <v>4</v>
      </c>
      <c r="H5" s="51" t="s">
        <v>3</v>
      </c>
      <c r="I5" s="2" t="s">
        <v>4</v>
      </c>
      <c r="J5" s="1" t="s">
        <v>3</v>
      </c>
      <c r="K5" s="50" t="s">
        <v>4</v>
      </c>
      <c r="L5" s="51" t="s">
        <v>3</v>
      </c>
      <c r="M5" s="8" t="s">
        <v>4</v>
      </c>
    </row>
    <row r="6" spans="1:13" s="3" customFormat="1" ht="15" customHeight="1" thickBot="1" x14ac:dyDescent="0.35">
      <c r="A6" s="69"/>
      <c r="B6" s="4" t="s">
        <v>5</v>
      </c>
      <c r="C6" s="5" t="s">
        <v>6</v>
      </c>
      <c r="D6" s="31" t="s">
        <v>7</v>
      </c>
      <c r="E6" s="6" t="s">
        <v>6</v>
      </c>
      <c r="F6" s="4" t="s">
        <v>5</v>
      </c>
      <c r="G6" s="5" t="s">
        <v>6</v>
      </c>
      <c r="H6" s="31" t="s">
        <v>7</v>
      </c>
      <c r="I6" s="6" t="s">
        <v>6</v>
      </c>
      <c r="J6" s="4" t="s">
        <v>5</v>
      </c>
      <c r="K6" s="5" t="s">
        <v>6</v>
      </c>
      <c r="L6" s="31" t="s">
        <v>7</v>
      </c>
      <c r="M6" s="7" t="s">
        <v>6</v>
      </c>
    </row>
    <row r="7" spans="1:13" ht="15" customHeight="1" x14ac:dyDescent="0.3">
      <c r="A7" s="9" t="s">
        <v>8</v>
      </c>
      <c r="B7" s="10">
        <v>1279992</v>
      </c>
      <c r="C7" s="11">
        <v>17.8</v>
      </c>
      <c r="D7" s="12">
        <v>61.7</v>
      </c>
      <c r="E7" s="52" t="s">
        <v>9</v>
      </c>
      <c r="F7" s="10">
        <v>164478</v>
      </c>
      <c r="G7" s="11">
        <v>41.5</v>
      </c>
      <c r="H7" s="12">
        <v>50.9</v>
      </c>
      <c r="I7" s="52" t="s">
        <v>9</v>
      </c>
      <c r="J7" s="10">
        <v>16067</v>
      </c>
      <c r="K7" s="11">
        <v>72.599999999999994</v>
      </c>
      <c r="L7" s="12">
        <v>19.899999999999999</v>
      </c>
      <c r="M7" s="14" t="s">
        <v>9</v>
      </c>
    </row>
    <row r="8" spans="1:13" ht="15" customHeight="1" x14ac:dyDescent="0.3">
      <c r="A8" s="15" t="s">
        <v>10</v>
      </c>
      <c r="B8" s="16">
        <v>654134</v>
      </c>
      <c r="C8" s="17">
        <v>21.4</v>
      </c>
      <c r="D8" s="18">
        <v>56</v>
      </c>
      <c r="E8" s="53" t="s">
        <v>9</v>
      </c>
      <c r="F8" s="16">
        <v>15693</v>
      </c>
      <c r="G8" s="17">
        <v>100</v>
      </c>
      <c r="H8" s="18">
        <v>40.700000000000003</v>
      </c>
      <c r="I8" s="53" t="s">
        <v>9</v>
      </c>
      <c r="J8" s="16">
        <v>0</v>
      </c>
      <c r="K8" s="17" t="s">
        <v>9</v>
      </c>
      <c r="L8" s="18">
        <v>0</v>
      </c>
      <c r="M8" s="20" t="s">
        <v>9</v>
      </c>
    </row>
    <row r="9" spans="1:13" ht="15" customHeight="1" x14ac:dyDescent="0.3">
      <c r="A9" s="15" t="s">
        <v>11</v>
      </c>
      <c r="B9" s="16">
        <v>1096636</v>
      </c>
      <c r="C9" s="17">
        <v>24.1</v>
      </c>
      <c r="D9" s="18">
        <v>57.6</v>
      </c>
      <c r="E9" s="53" t="s">
        <v>9</v>
      </c>
      <c r="F9" s="16">
        <v>349539</v>
      </c>
      <c r="G9" s="17">
        <v>44.3</v>
      </c>
      <c r="H9" s="18">
        <v>79.3</v>
      </c>
      <c r="I9" s="53" t="s">
        <v>9</v>
      </c>
      <c r="J9" s="16">
        <v>0</v>
      </c>
      <c r="K9" s="17" t="s">
        <v>9</v>
      </c>
      <c r="L9" s="18">
        <v>0</v>
      </c>
      <c r="M9" s="20" t="s">
        <v>9</v>
      </c>
    </row>
    <row r="10" spans="1:13" ht="15" customHeight="1" x14ac:dyDescent="0.3">
      <c r="A10" s="15" t="s">
        <v>12</v>
      </c>
      <c r="B10" s="16">
        <v>3250573</v>
      </c>
      <c r="C10" s="17">
        <v>13.4</v>
      </c>
      <c r="D10" s="18">
        <v>87.7</v>
      </c>
      <c r="E10" s="53" t="s">
        <v>9</v>
      </c>
      <c r="F10" s="16">
        <v>2610</v>
      </c>
      <c r="G10" s="17">
        <v>100</v>
      </c>
      <c r="H10" s="18">
        <v>6.9</v>
      </c>
      <c r="I10" s="53" t="s">
        <v>9</v>
      </c>
      <c r="J10" s="16">
        <v>0</v>
      </c>
      <c r="K10" s="17" t="s">
        <v>9</v>
      </c>
      <c r="L10" s="18">
        <v>0</v>
      </c>
      <c r="M10" s="20" t="s">
        <v>9</v>
      </c>
    </row>
    <row r="11" spans="1:13" ht="15" customHeight="1" x14ac:dyDescent="0.3">
      <c r="A11" s="15" t="s">
        <v>13</v>
      </c>
      <c r="B11" s="16">
        <v>1315691</v>
      </c>
      <c r="C11" s="17">
        <v>16.7</v>
      </c>
      <c r="D11" s="18">
        <v>62.9</v>
      </c>
      <c r="E11" s="53" t="s">
        <v>9</v>
      </c>
      <c r="F11" s="16">
        <v>456086</v>
      </c>
      <c r="G11" s="17">
        <v>29.6</v>
      </c>
      <c r="H11" s="18">
        <v>79.099999999999994</v>
      </c>
      <c r="I11" s="53" t="s">
        <v>9</v>
      </c>
      <c r="J11" s="16">
        <v>0</v>
      </c>
      <c r="K11" s="17" t="s">
        <v>9</v>
      </c>
      <c r="L11" s="18">
        <v>0</v>
      </c>
      <c r="M11" s="20" t="s">
        <v>9</v>
      </c>
    </row>
    <row r="12" spans="1:13" ht="15" customHeight="1" x14ac:dyDescent="0.3">
      <c r="A12" s="15" t="s">
        <v>14</v>
      </c>
      <c r="B12" s="16">
        <v>626789</v>
      </c>
      <c r="C12" s="17">
        <v>20</v>
      </c>
      <c r="D12" s="18">
        <v>51.2</v>
      </c>
      <c r="E12" s="53" t="s">
        <v>9</v>
      </c>
      <c r="F12" s="16">
        <v>195375</v>
      </c>
      <c r="G12" s="17">
        <v>42.8</v>
      </c>
      <c r="H12" s="18">
        <v>55.7</v>
      </c>
      <c r="I12" s="53" t="s">
        <v>9</v>
      </c>
      <c r="J12" s="16">
        <v>63756</v>
      </c>
      <c r="K12" s="17">
        <v>71</v>
      </c>
      <c r="L12" s="18">
        <v>85.3</v>
      </c>
      <c r="M12" s="20" t="s">
        <v>9</v>
      </c>
    </row>
    <row r="13" spans="1:13" ht="15" customHeight="1" x14ac:dyDescent="0.3">
      <c r="A13" s="15" t="s">
        <v>15</v>
      </c>
      <c r="B13" s="16">
        <v>636678</v>
      </c>
      <c r="C13" s="17">
        <v>27.7</v>
      </c>
      <c r="D13" s="18">
        <v>52.1</v>
      </c>
      <c r="E13" s="53" t="s">
        <v>9</v>
      </c>
      <c r="F13" s="16">
        <v>2039185</v>
      </c>
      <c r="G13" s="17">
        <v>14.6</v>
      </c>
      <c r="H13" s="18">
        <v>64.599999999999994</v>
      </c>
      <c r="I13" s="53" t="s">
        <v>9</v>
      </c>
      <c r="J13" s="16">
        <v>33803</v>
      </c>
      <c r="K13" s="17">
        <v>63.3</v>
      </c>
      <c r="L13" s="18">
        <v>30.3</v>
      </c>
      <c r="M13" s="20" t="s">
        <v>9</v>
      </c>
    </row>
    <row r="14" spans="1:13" ht="15" customHeight="1" x14ac:dyDescent="0.3">
      <c r="A14" s="15" t="s">
        <v>16</v>
      </c>
      <c r="B14" s="16">
        <v>453342</v>
      </c>
      <c r="C14" s="17">
        <v>23.4</v>
      </c>
      <c r="D14" s="18">
        <v>44.2</v>
      </c>
      <c r="E14" s="53" t="s">
        <v>9</v>
      </c>
      <c r="F14" s="16">
        <v>460585</v>
      </c>
      <c r="G14" s="54">
        <v>36.200000000000003</v>
      </c>
      <c r="H14" s="18">
        <v>83.8</v>
      </c>
      <c r="I14" s="53" t="s">
        <v>9</v>
      </c>
      <c r="J14" s="16">
        <v>586999</v>
      </c>
      <c r="K14" s="17">
        <v>27.3</v>
      </c>
      <c r="L14" s="18">
        <v>23.9</v>
      </c>
      <c r="M14" s="20" t="s">
        <v>9</v>
      </c>
    </row>
    <row r="15" spans="1:13" ht="15" customHeight="1" x14ac:dyDescent="0.3">
      <c r="A15" s="15" t="s">
        <v>17</v>
      </c>
      <c r="B15" s="16">
        <v>95371</v>
      </c>
      <c r="C15" s="54">
        <v>55</v>
      </c>
      <c r="D15" s="18">
        <v>51.8</v>
      </c>
      <c r="E15" s="54" t="s">
        <v>9</v>
      </c>
      <c r="F15" s="16">
        <v>1430944</v>
      </c>
      <c r="G15" s="17">
        <v>24.3</v>
      </c>
      <c r="H15" s="18">
        <v>88.3</v>
      </c>
      <c r="I15" s="54" t="s">
        <v>9</v>
      </c>
      <c r="J15" s="16">
        <v>197415</v>
      </c>
      <c r="K15" s="17">
        <v>54.3</v>
      </c>
      <c r="L15" s="18">
        <v>67</v>
      </c>
      <c r="M15" s="20" t="s">
        <v>9</v>
      </c>
    </row>
    <row r="16" spans="1:13" ht="15" customHeight="1" x14ac:dyDescent="0.3">
      <c r="A16" s="15" t="s">
        <v>18</v>
      </c>
      <c r="B16" s="16">
        <v>113596</v>
      </c>
      <c r="C16" s="54">
        <v>59.1</v>
      </c>
      <c r="D16" s="18">
        <v>104.8</v>
      </c>
      <c r="E16" s="54" t="s">
        <v>9</v>
      </c>
      <c r="F16" s="16">
        <v>2314487</v>
      </c>
      <c r="G16" s="17">
        <v>24.1</v>
      </c>
      <c r="H16" s="18">
        <v>128.1</v>
      </c>
      <c r="I16" s="54" t="s">
        <v>9</v>
      </c>
      <c r="J16" s="16">
        <v>3224675</v>
      </c>
      <c r="K16" s="17">
        <v>16</v>
      </c>
      <c r="L16" s="18">
        <v>71.400000000000006</v>
      </c>
      <c r="M16" s="20" t="s">
        <v>9</v>
      </c>
    </row>
    <row r="17" spans="1:13" ht="15" customHeight="1" x14ac:dyDescent="0.3">
      <c r="A17" s="15" t="s">
        <v>19</v>
      </c>
      <c r="B17" s="16">
        <v>41279</v>
      </c>
      <c r="C17" s="54">
        <v>76.599999999999994</v>
      </c>
      <c r="D17" s="18">
        <v>56</v>
      </c>
      <c r="E17" s="54" t="s">
        <v>9</v>
      </c>
      <c r="F17" s="16">
        <v>314327</v>
      </c>
      <c r="G17" s="54">
        <v>28.3</v>
      </c>
      <c r="H17" s="18">
        <v>53.3</v>
      </c>
      <c r="I17" s="54" t="s">
        <v>9</v>
      </c>
      <c r="J17" s="16">
        <v>384751</v>
      </c>
      <c r="K17" s="54">
        <v>23.9</v>
      </c>
      <c r="L17" s="18">
        <v>47.4</v>
      </c>
      <c r="M17" s="20" t="s">
        <v>9</v>
      </c>
    </row>
    <row r="18" spans="1:13" ht="15" customHeight="1" x14ac:dyDescent="0.3">
      <c r="A18" s="15" t="s">
        <v>20</v>
      </c>
      <c r="B18" s="16">
        <v>0</v>
      </c>
      <c r="C18" s="54" t="s">
        <v>9</v>
      </c>
      <c r="D18" s="18">
        <v>0</v>
      </c>
      <c r="E18" s="54" t="s">
        <v>9</v>
      </c>
      <c r="F18" s="16">
        <v>544000</v>
      </c>
      <c r="G18" s="17">
        <v>24.1</v>
      </c>
      <c r="H18" s="18">
        <v>52.4</v>
      </c>
      <c r="I18" s="54" t="s">
        <v>9</v>
      </c>
      <c r="J18" s="16">
        <v>103647</v>
      </c>
      <c r="K18" s="54">
        <v>48.9</v>
      </c>
      <c r="L18" s="18">
        <v>47.2</v>
      </c>
      <c r="M18" s="20" t="s">
        <v>9</v>
      </c>
    </row>
    <row r="19" spans="1:13" ht="15" customHeight="1" x14ac:dyDescent="0.3">
      <c r="A19" s="15" t="s">
        <v>21</v>
      </c>
      <c r="B19" s="16">
        <v>0</v>
      </c>
      <c r="C19" s="54" t="s">
        <v>9</v>
      </c>
      <c r="D19" s="18">
        <v>0</v>
      </c>
      <c r="E19" s="54" t="s">
        <v>9</v>
      </c>
      <c r="F19" s="16">
        <v>584343</v>
      </c>
      <c r="G19" s="17">
        <v>25.3</v>
      </c>
      <c r="H19" s="18">
        <v>69</v>
      </c>
      <c r="I19" s="54" t="s">
        <v>9</v>
      </c>
      <c r="J19" s="16">
        <v>408066</v>
      </c>
      <c r="K19" s="54">
        <v>28.6</v>
      </c>
      <c r="L19" s="18">
        <v>55.6</v>
      </c>
      <c r="M19" s="20" t="s">
        <v>9</v>
      </c>
    </row>
    <row r="20" spans="1:13" ht="15" customHeight="1" x14ac:dyDescent="0.3">
      <c r="A20" s="15" t="s">
        <v>22</v>
      </c>
      <c r="B20" s="16">
        <v>112330</v>
      </c>
      <c r="C20" s="54">
        <v>62.9</v>
      </c>
      <c r="D20" s="18">
        <v>103.5</v>
      </c>
      <c r="E20" s="54" t="s">
        <v>9</v>
      </c>
      <c r="F20" s="16">
        <v>1020107</v>
      </c>
      <c r="G20" s="17">
        <v>25.5</v>
      </c>
      <c r="H20" s="18">
        <v>55.4</v>
      </c>
      <c r="I20" s="54" t="s">
        <v>9</v>
      </c>
      <c r="J20" s="16">
        <v>103367</v>
      </c>
      <c r="K20" s="17">
        <v>53.6</v>
      </c>
      <c r="L20" s="18">
        <v>47.6</v>
      </c>
      <c r="M20" s="20" t="s">
        <v>9</v>
      </c>
    </row>
    <row r="21" spans="1:13" ht="15" customHeight="1" x14ac:dyDescent="0.3">
      <c r="A21" s="15" t="s">
        <v>23</v>
      </c>
      <c r="B21" s="16">
        <v>0</v>
      </c>
      <c r="C21" s="54" t="s">
        <v>9</v>
      </c>
      <c r="D21" s="18">
        <v>0</v>
      </c>
      <c r="E21" s="54" t="s">
        <v>9</v>
      </c>
      <c r="F21" s="16">
        <v>107411</v>
      </c>
      <c r="G21" s="54">
        <v>44.2</v>
      </c>
      <c r="H21" s="18">
        <v>45.8</v>
      </c>
      <c r="I21" s="54" t="s">
        <v>9</v>
      </c>
      <c r="J21" s="16">
        <v>51207</v>
      </c>
      <c r="K21" s="17">
        <v>64.599999999999994</v>
      </c>
      <c r="L21" s="18">
        <v>23.4</v>
      </c>
      <c r="M21" s="20" t="s">
        <v>9</v>
      </c>
    </row>
    <row r="22" spans="1:13" ht="15" customHeight="1" x14ac:dyDescent="0.3">
      <c r="A22" s="15" t="s">
        <v>24</v>
      </c>
      <c r="B22" s="16">
        <v>0</v>
      </c>
      <c r="C22" s="54" t="s">
        <v>9</v>
      </c>
      <c r="D22" s="18">
        <v>0</v>
      </c>
      <c r="E22" s="54" t="s">
        <v>9</v>
      </c>
      <c r="F22" s="16">
        <v>424541</v>
      </c>
      <c r="G22" s="54">
        <v>36.799999999999997</v>
      </c>
      <c r="H22" s="18">
        <v>76.900000000000006</v>
      </c>
      <c r="I22" s="54" t="s">
        <v>9</v>
      </c>
      <c r="J22" s="16">
        <v>482824</v>
      </c>
      <c r="K22" s="54">
        <v>26.4</v>
      </c>
      <c r="L22" s="18">
        <v>52.8</v>
      </c>
      <c r="M22" s="20" t="s">
        <v>9</v>
      </c>
    </row>
    <row r="23" spans="1:13" ht="15" customHeight="1" x14ac:dyDescent="0.3">
      <c r="A23" s="15" t="s">
        <v>25</v>
      </c>
      <c r="B23" s="16">
        <v>0</v>
      </c>
      <c r="C23" s="54" t="s">
        <v>9</v>
      </c>
      <c r="D23" s="18">
        <v>0</v>
      </c>
      <c r="E23" s="54" t="s">
        <v>9</v>
      </c>
      <c r="F23" s="16">
        <v>175805</v>
      </c>
      <c r="G23" s="54">
        <v>53.4</v>
      </c>
      <c r="H23" s="18">
        <v>113.2</v>
      </c>
      <c r="I23" s="54" t="s">
        <v>9</v>
      </c>
      <c r="J23" s="16">
        <v>873731</v>
      </c>
      <c r="K23" s="54">
        <v>20.6</v>
      </c>
      <c r="L23" s="18">
        <v>31.5</v>
      </c>
      <c r="M23" s="20" t="s">
        <v>9</v>
      </c>
    </row>
    <row r="24" spans="1:13" ht="15" customHeight="1" x14ac:dyDescent="0.3">
      <c r="A24" s="15" t="s">
        <v>26</v>
      </c>
      <c r="B24" s="16">
        <v>0</v>
      </c>
      <c r="C24" s="54" t="s">
        <v>9</v>
      </c>
      <c r="D24" s="18">
        <v>0</v>
      </c>
      <c r="E24" s="54" t="s">
        <v>9</v>
      </c>
      <c r="F24" s="16">
        <v>128722</v>
      </c>
      <c r="G24" s="54">
        <v>43.9</v>
      </c>
      <c r="H24" s="18">
        <v>49.3</v>
      </c>
      <c r="I24" s="54" t="s">
        <v>9</v>
      </c>
      <c r="J24" s="16">
        <v>302381</v>
      </c>
      <c r="K24" s="17">
        <v>24.7</v>
      </c>
      <c r="L24" s="18">
        <v>33.799999999999997</v>
      </c>
      <c r="M24" s="20" t="s">
        <v>9</v>
      </c>
    </row>
    <row r="25" spans="1:13" ht="15" customHeight="1" x14ac:dyDescent="0.3">
      <c r="A25" s="15" t="s">
        <v>27</v>
      </c>
      <c r="B25" s="16">
        <v>0</v>
      </c>
      <c r="C25" s="54" t="s">
        <v>9</v>
      </c>
      <c r="D25" s="18">
        <v>0</v>
      </c>
      <c r="E25" s="54" t="s">
        <v>9</v>
      </c>
      <c r="F25" s="16">
        <v>6116430</v>
      </c>
      <c r="G25" s="54">
        <v>11</v>
      </c>
      <c r="H25" s="18">
        <v>83.3</v>
      </c>
      <c r="I25" s="54" t="s">
        <v>9</v>
      </c>
      <c r="J25" s="16">
        <v>829520</v>
      </c>
      <c r="K25" s="17">
        <v>23.5</v>
      </c>
      <c r="L25" s="18">
        <v>47.5</v>
      </c>
      <c r="M25" s="20" t="s">
        <v>9</v>
      </c>
    </row>
    <row r="26" spans="1:13" ht="15" customHeight="1" x14ac:dyDescent="0.3">
      <c r="A26" s="15" t="s">
        <v>28</v>
      </c>
      <c r="B26" s="16">
        <v>0</v>
      </c>
      <c r="C26" s="54" t="s">
        <v>9</v>
      </c>
      <c r="D26" s="18">
        <v>0</v>
      </c>
      <c r="E26" s="54" t="s">
        <v>9</v>
      </c>
      <c r="F26" s="16">
        <v>275664</v>
      </c>
      <c r="G26" s="54">
        <v>29.4</v>
      </c>
      <c r="H26" s="18">
        <v>36.799999999999997</v>
      </c>
      <c r="I26" s="54" t="s">
        <v>9</v>
      </c>
      <c r="J26" s="16">
        <v>1898380</v>
      </c>
      <c r="K26" s="54">
        <v>20.6</v>
      </c>
      <c r="L26" s="18">
        <v>41.9</v>
      </c>
      <c r="M26" s="20" t="s">
        <v>9</v>
      </c>
    </row>
    <row r="27" spans="1:13" ht="15" customHeight="1" thickBot="1" x14ac:dyDescent="0.35">
      <c r="A27" s="21" t="s">
        <v>29</v>
      </c>
      <c r="B27" s="22">
        <v>0</v>
      </c>
      <c r="C27" s="55" t="s">
        <v>9</v>
      </c>
      <c r="D27" s="37">
        <v>0</v>
      </c>
      <c r="E27" s="55" t="s">
        <v>9</v>
      </c>
      <c r="F27" s="22">
        <v>240180</v>
      </c>
      <c r="G27" s="55">
        <v>43.9</v>
      </c>
      <c r="H27" s="37">
        <v>46</v>
      </c>
      <c r="I27" s="55" t="s">
        <v>9</v>
      </c>
      <c r="J27" s="22">
        <v>962171</v>
      </c>
      <c r="K27" s="55">
        <v>17.2</v>
      </c>
      <c r="L27" s="37">
        <v>27.8</v>
      </c>
      <c r="M27" s="56" t="s">
        <v>9</v>
      </c>
    </row>
    <row r="28" spans="1:13" ht="15" customHeight="1" thickBot="1" x14ac:dyDescent="0.35">
      <c r="A28" s="23" t="s">
        <v>30</v>
      </c>
      <c r="B28" s="24">
        <v>9676411</v>
      </c>
      <c r="C28" s="25">
        <v>6.9</v>
      </c>
      <c r="D28" s="26">
        <v>65</v>
      </c>
      <c r="E28" s="27">
        <v>4.9000000000000004</v>
      </c>
      <c r="F28" s="24">
        <v>17360512</v>
      </c>
      <c r="G28" s="25">
        <v>6.4</v>
      </c>
      <c r="H28" s="26">
        <v>75.400000000000006</v>
      </c>
      <c r="I28" s="27">
        <v>5</v>
      </c>
      <c r="J28" s="28">
        <v>10522760</v>
      </c>
      <c r="K28" s="25">
        <v>7.4</v>
      </c>
      <c r="L28" s="26">
        <v>43.7</v>
      </c>
      <c r="M28" s="29">
        <v>6.4</v>
      </c>
    </row>
    <row r="29" spans="1:13" s="57" customFormat="1" ht="15" customHeight="1" x14ac:dyDescent="0.3">
      <c r="B29" s="58"/>
      <c r="D29" s="59"/>
      <c r="F29" s="58"/>
      <c r="H29" s="59"/>
      <c r="J29" s="58"/>
      <c r="L29" s="59"/>
    </row>
    <row r="30" spans="1:13" ht="15" customHeight="1" x14ac:dyDescent="0.3">
      <c r="A30" t="s">
        <v>73</v>
      </c>
    </row>
    <row r="31" spans="1:13" ht="15" customHeight="1" x14ac:dyDescent="0.3">
      <c r="A31" t="s">
        <v>74</v>
      </c>
    </row>
  </sheetData>
  <mergeCells count="8">
    <mergeCell ref="A3:A6"/>
    <mergeCell ref="B3:E3"/>
    <mergeCell ref="F3:I3"/>
    <mergeCell ref="J3:M3"/>
    <mergeCell ref="A1:M1"/>
    <mergeCell ref="B4:E4"/>
    <mergeCell ref="F4:I4"/>
    <mergeCell ref="J4:M4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4" orientation="landscape" horizontalDpi="360" verticalDpi="360" r:id="rId1"/>
  <headerFooter alignWithMargins="0">
    <oddHeader>&amp;CNational Inventory of Forests and Forest Carbon Pools - Inventario Nazionale delle Foreste e dei serbatoi forestali di Carbonio
INFC2015</oddHeader>
    <oddFooter>&amp;CArma dei Carabinieri - Consiglio per la ricerca in agricoltura e l'analisi dell'economia agraria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1"/>
  <sheetViews>
    <sheetView zoomScale="90" zoomScaleNormal="90" workbookViewId="0">
      <selection activeCell="F28" sqref="F28"/>
    </sheetView>
  </sheetViews>
  <sheetFormatPr defaultRowHeight="15" customHeight="1" x14ac:dyDescent="0.3"/>
  <cols>
    <col min="1" max="1" width="20.69140625" customWidth="1"/>
    <col min="2" max="2" width="10.69140625" customWidth="1"/>
    <col min="3" max="3" width="7.69140625" customWidth="1"/>
    <col min="4" max="4" width="10.69140625" style="30" customWidth="1"/>
    <col min="5" max="5" width="7.69140625" customWidth="1"/>
    <col min="6" max="6" width="11.69140625" customWidth="1"/>
    <col min="7" max="7" width="7.69140625" customWidth="1"/>
    <col min="8" max="8" width="10.69140625" style="30" customWidth="1"/>
    <col min="9" max="9" width="7.69140625" customWidth="1"/>
    <col min="10" max="10" width="10.69140625" customWidth="1"/>
    <col min="11" max="11" width="7.69140625" customWidth="1"/>
    <col min="12" max="12" width="10.69140625" style="30" customWidth="1"/>
    <col min="13" max="13" width="7.69140625" customWidth="1"/>
  </cols>
  <sheetData>
    <row r="1" spans="1:13" ht="30" customHeight="1" x14ac:dyDescent="0.3">
      <c r="A1" s="74" t="s">
        <v>51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15" customHeight="1" thickBot="1" x14ac:dyDescent="0.35"/>
    <row r="3" spans="1:13" ht="15" customHeight="1" x14ac:dyDescent="0.3">
      <c r="A3" s="67" t="s">
        <v>48</v>
      </c>
      <c r="B3" s="70" t="s">
        <v>58</v>
      </c>
      <c r="C3" s="71"/>
      <c r="D3" s="71"/>
      <c r="E3" s="72"/>
      <c r="F3" s="70" t="s">
        <v>59</v>
      </c>
      <c r="G3" s="71"/>
      <c r="H3" s="71"/>
      <c r="I3" s="72"/>
      <c r="J3" s="70" t="s">
        <v>60</v>
      </c>
      <c r="K3" s="71"/>
      <c r="L3" s="71"/>
      <c r="M3" s="73"/>
    </row>
    <row r="4" spans="1:13" ht="15" customHeight="1" x14ac:dyDescent="0.3">
      <c r="A4" s="68"/>
      <c r="B4" s="75" t="s">
        <v>34</v>
      </c>
      <c r="C4" s="76"/>
      <c r="D4" s="76"/>
      <c r="E4" s="77"/>
      <c r="F4" s="75" t="s">
        <v>35</v>
      </c>
      <c r="G4" s="76"/>
      <c r="H4" s="76"/>
      <c r="I4" s="77"/>
      <c r="J4" s="75" t="s">
        <v>36</v>
      </c>
      <c r="K4" s="76"/>
      <c r="L4" s="76"/>
      <c r="M4" s="78"/>
    </row>
    <row r="5" spans="1:13" s="3" customFormat="1" ht="15" customHeight="1" x14ac:dyDescent="0.3">
      <c r="A5" s="68"/>
      <c r="B5" s="1" t="s">
        <v>3</v>
      </c>
      <c r="C5" s="50" t="s">
        <v>4</v>
      </c>
      <c r="D5" s="51" t="s">
        <v>3</v>
      </c>
      <c r="E5" s="2" t="s">
        <v>4</v>
      </c>
      <c r="F5" s="1" t="s">
        <v>3</v>
      </c>
      <c r="G5" s="50" t="s">
        <v>4</v>
      </c>
      <c r="H5" s="51" t="s">
        <v>3</v>
      </c>
      <c r="I5" s="2" t="s">
        <v>4</v>
      </c>
      <c r="J5" s="1" t="s">
        <v>3</v>
      </c>
      <c r="K5" s="50" t="s">
        <v>4</v>
      </c>
      <c r="L5" s="51" t="s">
        <v>3</v>
      </c>
      <c r="M5" s="8" t="s">
        <v>4</v>
      </c>
    </row>
    <row r="6" spans="1:13" s="3" customFormat="1" ht="15" customHeight="1" thickBot="1" x14ac:dyDescent="0.35">
      <c r="A6" s="69"/>
      <c r="B6" s="4" t="s">
        <v>5</v>
      </c>
      <c r="C6" s="5" t="s">
        <v>6</v>
      </c>
      <c r="D6" s="31" t="s">
        <v>7</v>
      </c>
      <c r="E6" s="6" t="s">
        <v>6</v>
      </c>
      <c r="F6" s="4" t="s">
        <v>5</v>
      </c>
      <c r="G6" s="5" t="s">
        <v>6</v>
      </c>
      <c r="H6" s="31" t="s">
        <v>7</v>
      </c>
      <c r="I6" s="6" t="s">
        <v>6</v>
      </c>
      <c r="J6" s="4" t="s">
        <v>5</v>
      </c>
      <c r="K6" s="5" t="s">
        <v>6</v>
      </c>
      <c r="L6" s="31" t="s">
        <v>7</v>
      </c>
      <c r="M6" s="7" t="s">
        <v>6</v>
      </c>
    </row>
    <row r="7" spans="1:13" ht="15" customHeight="1" x14ac:dyDescent="0.3">
      <c r="A7" s="9" t="s">
        <v>8</v>
      </c>
      <c r="B7" s="10">
        <v>359793</v>
      </c>
      <c r="C7" s="11">
        <v>35</v>
      </c>
      <c r="D7" s="12">
        <v>55.7</v>
      </c>
      <c r="E7" s="52" t="s">
        <v>9</v>
      </c>
      <c r="F7" s="10">
        <v>9483704</v>
      </c>
      <c r="G7" s="11">
        <v>7.9</v>
      </c>
      <c r="H7" s="12">
        <v>81</v>
      </c>
      <c r="I7" s="52" t="s">
        <v>9</v>
      </c>
      <c r="J7" s="10">
        <v>3067021</v>
      </c>
      <c r="K7" s="11">
        <v>14.6</v>
      </c>
      <c r="L7" s="12">
        <v>40.299999999999997</v>
      </c>
      <c r="M7" s="14" t="s">
        <v>9</v>
      </c>
    </row>
    <row r="8" spans="1:13" ht="15" customHeight="1" x14ac:dyDescent="0.3">
      <c r="A8" s="15" t="s">
        <v>10</v>
      </c>
      <c r="B8" s="16">
        <v>0</v>
      </c>
      <c r="C8" s="17" t="s">
        <v>9</v>
      </c>
      <c r="D8" s="18">
        <v>0</v>
      </c>
      <c r="E8" s="53" t="s">
        <v>9</v>
      </c>
      <c r="F8" s="16">
        <v>133438</v>
      </c>
      <c r="G8" s="17">
        <v>67.5</v>
      </c>
      <c r="H8" s="18">
        <v>115.4</v>
      </c>
      <c r="I8" s="53" t="s">
        <v>9</v>
      </c>
      <c r="J8" s="16">
        <v>198339</v>
      </c>
      <c r="K8" s="17">
        <v>37.9</v>
      </c>
      <c r="L8" s="18">
        <v>46.8</v>
      </c>
      <c r="M8" s="20" t="s">
        <v>9</v>
      </c>
    </row>
    <row r="9" spans="1:13" ht="15" customHeight="1" x14ac:dyDescent="0.3">
      <c r="A9" s="15" t="s">
        <v>11</v>
      </c>
      <c r="B9" s="16">
        <v>424298</v>
      </c>
      <c r="C9" s="17">
        <v>39.1</v>
      </c>
      <c r="D9" s="18">
        <v>66.8</v>
      </c>
      <c r="E9" s="53" t="s">
        <v>9</v>
      </c>
      <c r="F9" s="16">
        <v>5682482</v>
      </c>
      <c r="G9" s="17">
        <v>12.4</v>
      </c>
      <c r="H9" s="18">
        <v>85.3</v>
      </c>
      <c r="I9" s="53" t="s">
        <v>9</v>
      </c>
      <c r="J9" s="16">
        <v>2180586</v>
      </c>
      <c r="K9" s="17">
        <v>15.5</v>
      </c>
      <c r="L9" s="18">
        <v>53.1</v>
      </c>
      <c r="M9" s="20" t="s">
        <v>9</v>
      </c>
    </row>
    <row r="10" spans="1:13" ht="15" customHeight="1" x14ac:dyDescent="0.3">
      <c r="A10" s="15" t="s">
        <v>12</v>
      </c>
      <c r="B10" s="16">
        <v>0</v>
      </c>
      <c r="C10" s="17" t="s">
        <v>9</v>
      </c>
      <c r="D10" s="18">
        <v>0</v>
      </c>
      <c r="E10" s="53" t="s">
        <v>9</v>
      </c>
      <c r="F10" s="16">
        <v>339820</v>
      </c>
      <c r="G10" s="17">
        <v>31.4</v>
      </c>
      <c r="H10" s="18">
        <v>81.7</v>
      </c>
      <c r="I10" s="53" t="s">
        <v>9</v>
      </c>
      <c r="J10" s="16">
        <v>212309</v>
      </c>
      <c r="K10" s="17">
        <v>32.1</v>
      </c>
      <c r="L10" s="18">
        <v>46.8</v>
      </c>
      <c r="M10" s="20" t="s">
        <v>9</v>
      </c>
    </row>
    <row r="11" spans="1:13" ht="15" customHeight="1" x14ac:dyDescent="0.3">
      <c r="A11" s="15" t="s">
        <v>13</v>
      </c>
      <c r="B11" s="16">
        <v>0</v>
      </c>
      <c r="C11" s="17" t="s">
        <v>9</v>
      </c>
      <c r="D11" s="18">
        <v>0</v>
      </c>
      <c r="E11" s="53" t="s">
        <v>9</v>
      </c>
      <c r="F11" s="16">
        <v>5352453</v>
      </c>
      <c r="G11" s="17">
        <v>10.6</v>
      </c>
      <c r="H11" s="18">
        <v>85.5</v>
      </c>
      <c r="I11" s="53" t="s">
        <v>9</v>
      </c>
      <c r="J11" s="16">
        <v>299558</v>
      </c>
      <c r="K11" s="17">
        <v>33.4</v>
      </c>
      <c r="L11" s="18">
        <v>52</v>
      </c>
      <c r="M11" s="20" t="s">
        <v>9</v>
      </c>
    </row>
    <row r="12" spans="1:13" ht="15" customHeight="1" x14ac:dyDescent="0.3">
      <c r="A12" s="15" t="s">
        <v>14</v>
      </c>
      <c r="B12" s="16">
        <v>0</v>
      </c>
      <c r="C12" s="17" t="s">
        <v>9</v>
      </c>
      <c r="D12" s="18">
        <v>0</v>
      </c>
      <c r="E12" s="53" t="s">
        <v>9</v>
      </c>
      <c r="F12" s="16">
        <v>6770380</v>
      </c>
      <c r="G12" s="17">
        <v>10.9</v>
      </c>
      <c r="H12" s="18">
        <v>100.1</v>
      </c>
      <c r="I12" s="53" t="s">
        <v>9</v>
      </c>
      <c r="J12" s="16">
        <v>965089</v>
      </c>
      <c r="K12" s="17">
        <v>19</v>
      </c>
      <c r="L12" s="18">
        <v>61.7</v>
      </c>
      <c r="M12" s="20" t="s">
        <v>9</v>
      </c>
    </row>
    <row r="13" spans="1:13" ht="15" customHeight="1" x14ac:dyDescent="0.3">
      <c r="A13" s="15" t="s">
        <v>15</v>
      </c>
      <c r="B13" s="16">
        <v>85793</v>
      </c>
      <c r="C13" s="17">
        <v>67.5</v>
      </c>
      <c r="D13" s="18">
        <v>76.900000000000006</v>
      </c>
      <c r="E13" s="53" t="s">
        <v>9</v>
      </c>
      <c r="F13" s="16">
        <v>9477134</v>
      </c>
      <c r="G13" s="17">
        <v>9.8000000000000007</v>
      </c>
      <c r="H13" s="18">
        <v>104.6</v>
      </c>
      <c r="I13" s="53" t="s">
        <v>9</v>
      </c>
      <c r="J13" s="16">
        <v>391761</v>
      </c>
      <c r="K13" s="17">
        <v>28</v>
      </c>
      <c r="L13" s="18">
        <v>47.9</v>
      </c>
      <c r="M13" s="20" t="s">
        <v>9</v>
      </c>
    </row>
    <row r="14" spans="1:13" ht="15" customHeight="1" x14ac:dyDescent="0.3">
      <c r="A14" s="15" t="s">
        <v>16</v>
      </c>
      <c r="B14" s="16">
        <v>49141</v>
      </c>
      <c r="C14" s="17">
        <v>100</v>
      </c>
      <c r="D14" s="18">
        <v>134.1</v>
      </c>
      <c r="E14" s="53" t="s">
        <v>9</v>
      </c>
      <c r="F14" s="16">
        <v>3711434</v>
      </c>
      <c r="G14" s="54">
        <v>11.4</v>
      </c>
      <c r="H14" s="18">
        <v>100.3</v>
      </c>
      <c r="I14" s="53" t="s">
        <v>9</v>
      </c>
      <c r="J14" s="16">
        <v>1743619</v>
      </c>
      <c r="K14" s="17">
        <v>15.1</v>
      </c>
      <c r="L14" s="18">
        <v>39.799999999999997</v>
      </c>
      <c r="M14" s="20" t="s">
        <v>9</v>
      </c>
    </row>
    <row r="15" spans="1:13" ht="15" customHeight="1" x14ac:dyDescent="0.3">
      <c r="A15" s="15" t="s">
        <v>17</v>
      </c>
      <c r="B15" s="16">
        <v>202243</v>
      </c>
      <c r="C15" s="54">
        <v>33.6</v>
      </c>
      <c r="D15" s="18">
        <v>61</v>
      </c>
      <c r="E15" s="54" t="s">
        <v>9</v>
      </c>
      <c r="F15" s="16">
        <v>9653102</v>
      </c>
      <c r="G15" s="17">
        <v>8.9</v>
      </c>
      <c r="H15" s="18">
        <v>94.2</v>
      </c>
      <c r="I15" s="54" t="s">
        <v>9</v>
      </c>
      <c r="J15" s="16">
        <v>2472515</v>
      </c>
      <c r="K15" s="17">
        <v>11.7</v>
      </c>
      <c r="L15" s="18">
        <v>32.1</v>
      </c>
      <c r="M15" s="20" t="s">
        <v>9</v>
      </c>
    </row>
    <row r="16" spans="1:13" ht="15" customHeight="1" x14ac:dyDescent="0.3">
      <c r="A16" s="15" t="s">
        <v>18</v>
      </c>
      <c r="B16" s="16">
        <v>1214453</v>
      </c>
      <c r="C16" s="54">
        <v>23.6</v>
      </c>
      <c r="D16" s="18">
        <v>102.1</v>
      </c>
      <c r="E16" s="54" t="s">
        <v>9</v>
      </c>
      <c r="F16" s="16">
        <v>8623683</v>
      </c>
      <c r="G16" s="17">
        <v>9.5</v>
      </c>
      <c r="H16" s="18">
        <v>117.6</v>
      </c>
      <c r="I16" s="54" t="s">
        <v>9</v>
      </c>
      <c r="J16" s="16">
        <v>5604329</v>
      </c>
      <c r="K16" s="17">
        <v>8.3000000000000007</v>
      </c>
      <c r="L16" s="18">
        <v>36.799999999999997</v>
      </c>
      <c r="M16" s="20" t="s">
        <v>9</v>
      </c>
    </row>
    <row r="17" spans="1:13" ht="15" customHeight="1" x14ac:dyDescent="0.3">
      <c r="A17" s="15" t="s">
        <v>19</v>
      </c>
      <c r="B17" s="16">
        <v>178012</v>
      </c>
      <c r="C17" s="54">
        <v>46.4</v>
      </c>
      <c r="D17" s="18">
        <v>96.6</v>
      </c>
      <c r="E17" s="54" t="s">
        <v>9</v>
      </c>
      <c r="F17" s="16">
        <v>1212736</v>
      </c>
      <c r="G17" s="54">
        <v>20.5</v>
      </c>
      <c r="H17" s="18">
        <v>73.400000000000006</v>
      </c>
      <c r="I17" s="54" t="s">
        <v>9</v>
      </c>
      <c r="J17" s="16">
        <v>2811149</v>
      </c>
      <c r="K17" s="54">
        <v>11.9</v>
      </c>
      <c r="L17" s="18">
        <v>27.9</v>
      </c>
      <c r="M17" s="20" t="s">
        <v>9</v>
      </c>
    </row>
    <row r="18" spans="1:13" ht="15" customHeight="1" x14ac:dyDescent="0.3">
      <c r="A18" s="15" t="s">
        <v>20</v>
      </c>
      <c r="B18" s="16">
        <v>187337</v>
      </c>
      <c r="C18" s="54">
        <v>31.8</v>
      </c>
      <c r="D18" s="18">
        <v>33.1</v>
      </c>
      <c r="E18" s="54" t="s">
        <v>9</v>
      </c>
      <c r="F18" s="16">
        <v>1443868</v>
      </c>
      <c r="G18" s="17">
        <v>21.7</v>
      </c>
      <c r="H18" s="18">
        <v>81.2</v>
      </c>
      <c r="I18" s="54" t="s">
        <v>9</v>
      </c>
      <c r="J18" s="16">
        <v>2141135</v>
      </c>
      <c r="K18" s="54">
        <v>15.2</v>
      </c>
      <c r="L18" s="18">
        <v>34.700000000000003</v>
      </c>
      <c r="M18" s="20" t="s">
        <v>9</v>
      </c>
    </row>
    <row r="19" spans="1:13" ht="15" customHeight="1" x14ac:dyDescent="0.3">
      <c r="A19" s="15" t="s">
        <v>21</v>
      </c>
      <c r="B19" s="16">
        <v>152800</v>
      </c>
      <c r="C19" s="54">
        <v>58.4</v>
      </c>
      <c r="D19" s="18">
        <v>103.7</v>
      </c>
      <c r="E19" s="54" t="s">
        <v>9</v>
      </c>
      <c r="F19" s="16">
        <v>8610198</v>
      </c>
      <c r="G19" s="17">
        <v>10.5</v>
      </c>
      <c r="H19" s="18">
        <v>115.7</v>
      </c>
      <c r="I19" s="54" t="s">
        <v>9</v>
      </c>
      <c r="J19" s="16">
        <v>2430657</v>
      </c>
      <c r="K19" s="54">
        <v>13.9</v>
      </c>
      <c r="L19" s="18">
        <v>29.7</v>
      </c>
      <c r="M19" s="20" t="s">
        <v>9</v>
      </c>
    </row>
    <row r="20" spans="1:13" ht="15" customHeight="1" x14ac:dyDescent="0.3">
      <c r="A20" s="15" t="s">
        <v>22</v>
      </c>
      <c r="B20" s="16">
        <v>109941</v>
      </c>
      <c r="C20" s="54">
        <v>66</v>
      </c>
      <c r="D20" s="18">
        <v>50.6</v>
      </c>
      <c r="E20" s="54" t="s">
        <v>9</v>
      </c>
      <c r="F20" s="16">
        <v>13708000</v>
      </c>
      <c r="G20" s="17">
        <v>6.9</v>
      </c>
      <c r="H20" s="18">
        <v>110.1</v>
      </c>
      <c r="I20" s="54" t="s">
        <v>9</v>
      </c>
      <c r="J20" s="16">
        <v>3171641</v>
      </c>
      <c r="K20" s="17">
        <v>10.3</v>
      </c>
      <c r="L20" s="18">
        <v>36.1</v>
      </c>
      <c r="M20" s="20" t="s">
        <v>9</v>
      </c>
    </row>
    <row r="21" spans="1:13" ht="15" customHeight="1" x14ac:dyDescent="0.3">
      <c r="A21" s="15" t="s">
        <v>23</v>
      </c>
      <c r="B21" s="16">
        <v>0</v>
      </c>
      <c r="C21" s="54" t="s">
        <v>9</v>
      </c>
      <c r="D21" s="18">
        <v>0</v>
      </c>
      <c r="E21" s="54" t="s">
        <v>9</v>
      </c>
      <c r="F21" s="16">
        <v>1980929</v>
      </c>
      <c r="G21" s="54">
        <v>18.5</v>
      </c>
      <c r="H21" s="18">
        <v>133.5</v>
      </c>
      <c r="I21" s="54" t="s">
        <v>9</v>
      </c>
      <c r="J21" s="16">
        <v>1648050</v>
      </c>
      <c r="K21" s="17">
        <v>15.6</v>
      </c>
      <c r="L21" s="18">
        <v>34.200000000000003</v>
      </c>
      <c r="M21" s="20" t="s">
        <v>9</v>
      </c>
    </row>
    <row r="22" spans="1:13" ht="15" customHeight="1" x14ac:dyDescent="0.3">
      <c r="A22" s="15" t="s">
        <v>24</v>
      </c>
      <c r="B22" s="16">
        <v>14621</v>
      </c>
      <c r="C22" s="54">
        <v>61.3</v>
      </c>
      <c r="D22" s="18">
        <v>16.899999999999999</v>
      </c>
      <c r="E22" s="54" t="s">
        <v>9</v>
      </c>
      <c r="F22" s="16">
        <v>8092394</v>
      </c>
      <c r="G22" s="54">
        <v>11.8</v>
      </c>
      <c r="H22" s="18">
        <v>143.9</v>
      </c>
      <c r="I22" s="54" t="s">
        <v>9</v>
      </c>
      <c r="J22" s="16">
        <v>1776170</v>
      </c>
      <c r="K22" s="54">
        <v>13.8</v>
      </c>
      <c r="L22" s="18">
        <v>29.1</v>
      </c>
      <c r="M22" s="20" t="s">
        <v>9</v>
      </c>
    </row>
    <row r="23" spans="1:13" ht="15" customHeight="1" x14ac:dyDescent="0.3">
      <c r="A23" s="15" t="s">
        <v>25</v>
      </c>
      <c r="B23" s="16">
        <v>148084</v>
      </c>
      <c r="C23" s="54">
        <v>49.7</v>
      </c>
      <c r="D23" s="18">
        <v>63.5</v>
      </c>
      <c r="E23" s="54" t="s">
        <v>9</v>
      </c>
      <c r="F23" s="16">
        <v>714401</v>
      </c>
      <c r="G23" s="54">
        <v>31.4</v>
      </c>
      <c r="H23" s="18">
        <v>153.30000000000001</v>
      </c>
      <c r="I23" s="54" t="s">
        <v>9</v>
      </c>
      <c r="J23" s="16">
        <v>909360</v>
      </c>
      <c r="K23" s="54">
        <v>22.3</v>
      </c>
      <c r="L23" s="18">
        <v>35.200000000000003</v>
      </c>
      <c r="M23" s="20" t="s">
        <v>9</v>
      </c>
    </row>
    <row r="24" spans="1:13" ht="15" customHeight="1" x14ac:dyDescent="0.3">
      <c r="A24" s="15" t="s">
        <v>26</v>
      </c>
      <c r="B24" s="16">
        <v>230039</v>
      </c>
      <c r="C24" s="54">
        <v>37.5</v>
      </c>
      <c r="D24" s="18">
        <v>44.7</v>
      </c>
      <c r="E24" s="54" t="s">
        <v>9</v>
      </c>
      <c r="F24" s="16">
        <v>3453034</v>
      </c>
      <c r="G24" s="54">
        <v>16.3</v>
      </c>
      <c r="H24" s="18">
        <v>128.69999999999999</v>
      </c>
      <c r="I24" s="54" t="s">
        <v>9</v>
      </c>
      <c r="J24" s="16">
        <v>1118551</v>
      </c>
      <c r="K24" s="17">
        <v>16.2</v>
      </c>
      <c r="L24" s="18">
        <v>26</v>
      </c>
      <c r="M24" s="20" t="s">
        <v>9</v>
      </c>
    </row>
    <row r="25" spans="1:13" ht="15" customHeight="1" x14ac:dyDescent="0.3">
      <c r="A25" s="15" t="s">
        <v>27</v>
      </c>
      <c r="B25" s="16">
        <v>1366051</v>
      </c>
      <c r="C25" s="54">
        <v>22.9</v>
      </c>
      <c r="D25" s="18">
        <v>108.8</v>
      </c>
      <c r="E25" s="54" t="s">
        <v>9</v>
      </c>
      <c r="F25" s="16">
        <v>12143057</v>
      </c>
      <c r="G25" s="54">
        <v>8.1999999999999993</v>
      </c>
      <c r="H25" s="18">
        <v>152.9</v>
      </c>
      <c r="I25" s="54" t="s">
        <v>9</v>
      </c>
      <c r="J25" s="16">
        <v>2086837</v>
      </c>
      <c r="K25" s="17">
        <v>19.600000000000001</v>
      </c>
      <c r="L25" s="18">
        <v>38.799999999999997</v>
      </c>
      <c r="M25" s="20" t="s">
        <v>9</v>
      </c>
    </row>
    <row r="26" spans="1:13" ht="15" customHeight="1" x14ac:dyDescent="0.3">
      <c r="A26" s="15" t="s">
        <v>28</v>
      </c>
      <c r="B26" s="16">
        <v>383546</v>
      </c>
      <c r="C26" s="54">
        <v>30.3</v>
      </c>
      <c r="D26" s="18">
        <v>41.2</v>
      </c>
      <c r="E26" s="54" t="s">
        <v>9</v>
      </c>
      <c r="F26" s="16">
        <v>1289391</v>
      </c>
      <c r="G26" s="54">
        <v>19.100000000000001</v>
      </c>
      <c r="H26" s="18">
        <v>85</v>
      </c>
      <c r="I26" s="54" t="s">
        <v>9</v>
      </c>
      <c r="J26" s="16">
        <v>2156623</v>
      </c>
      <c r="K26" s="54">
        <v>15.2</v>
      </c>
      <c r="L26" s="18">
        <v>30</v>
      </c>
      <c r="M26" s="20" t="s">
        <v>9</v>
      </c>
    </row>
    <row r="27" spans="1:13" ht="15" customHeight="1" thickBot="1" x14ac:dyDescent="0.35">
      <c r="A27" s="21" t="s">
        <v>29</v>
      </c>
      <c r="B27" s="22">
        <v>459624</v>
      </c>
      <c r="C27" s="55">
        <v>28.1</v>
      </c>
      <c r="D27" s="37">
        <v>35.200000000000003</v>
      </c>
      <c r="E27" s="55" t="s">
        <v>9</v>
      </c>
      <c r="F27" s="22">
        <v>0</v>
      </c>
      <c r="G27" s="55" t="s">
        <v>9</v>
      </c>
      <c r="H27" s="37">
        <v>0</v>
      </c>
      <c r="I27" s="55" t="s">
        <v>9</v>
      </c>
      <c r="J27" s="22">
        <v>1969679</v>
      </c>
      <c r="K27" s="55">
        <v>12.2</v>
      </c>
      <c r="L27" s="37">
        <v>22.4</v>
      </c>
      <c r="M27" s="56" t="s">
        <v>9</v>
      </c>
    </row>
    <row r="28" spans="1:13" ht="15" customHeight="1" thickBot="1" x14ac:dyDescent="0.35">
      <c r="A28" s="23" t="s">
        <v>30</v>
      </c>
      <c r="B28" s="24">
        <v>5565774</v>
      </c>
      <c r="C28" s="25">
        <v>9.8000000000000007</v>
      </c>
      <c r="D28" s="26">
        <v>66.3</v>
      </c>
      <c r="E28" s="27">
        <v>8.1</v>
      </c>
      <c r="F28" s="24">
        <v>111875640</v>
      </c>
      <c r="G28" s="25">
        <v>2.6</v>
      </c>
      <c r="H28" s="26">
        <v>106.2</v>
      </c>
      <c r="I28" s="27">
        <v>2</v>
      </c>
      <c r="J28" s="28">
        <v>39354980</v>
      </c>
      <c r="K28" s="25">
        <v>3.3</v>
      </c>
      <c r="L28" s="26">
        <v>34.200000000000003</v>
      </c>
      <c r="M28" s="29">
        <v>2.9</v>
      </c>
    </row>
    <row r="29" spans="1:13" s="57" customFormat="1" ht="15" customHeight="1" x14ac:dyDescent="0.3">
      <c r="B29" s="58"/>
      <c r="D29" s="59"/>
      <c r="F29" s="58"/>
      <c r="H29" s="59"/>
      <c r="J29" s="58"/>
      <c r="L29" s="59"/>
    </row>
    <row r="30" spans="1:13" ht="15" customHeight="1" x14ac:dyDescent="0.3">
      <c r="A30" t="s">
        <v>73</v>
      </c>
    </row>
    <row r="31" spans="1:13" ht="15" customHeight="1" x14ac:dyDescent="0.3">
      <c r="A31" t="s">
        <v>74</v>
      </c>
    </row>
  </sheetData>
  <mergeCells count="8">
    <mergeCell ref="A3:A6"/>
    <mergeCell ref="B3:E3"/>
    <mergeCell ref="F3:I3"/>
    <mergeCell ref="J3:M3"/>
    <mergeCell ref="A1:M1"/>
    <mergeCell ref="B4:E4"/>
    <mergeCell ref="F4:I4"/>
    <mergeCell ref="J4:M4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4" orientation="landscape" horizontalDpi="360" verticalDpi="360" r:id="rId1"/>
  <headerFooter alignWithMargins="0">
    <oddHeader>&amp;CNational Inventory of Forests and Forest Carbon Pools - Inventario Nazionale delle Foreste e dei serbatoi forestali di Carbonio
INFC2015</oddHeader>
    <oddFooter>&amp;CArma dei Carabinieri - Consiglio per la ricerca in agricoltura e l'analisi dell'economia agraria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1"/>
  <sheetViews>
    <sheetView zoomScale="90" zoomScaleNormal="90" workbookViewId="0">
      <selection activeCell="N28" sqref="N28"/>
    </sheetView>
  </sheetViews>
  <sheetFormatPr defaultRowHeight="15" customHeight="1" x14ac:dyDescent="0.3"/>
  <cols>
    <col min="1" max="1" width="20.69140625" customWidth="1"/>
    <col min="2" max="2" width="10.69140625" customWidth="1"/>
    <col min="3" max="3" width="7.69140625" customWidth="1"/>
    <col min="4" max="4" width="10.69140625" style="30" customWidth="1"/>
    <col min="5" max="5" width="7.69140625" customWidth="1"/>
    <col min="6" max="6" width="10.69140625" customWidth="1"/>
    <col min="7" max="7" width="7.69140625" customWidth="1"/>
    <col min="8" max="8" width="10.69140625" style="30" customWidth="1"/>
    <col min="9" max="9" width="7.69140625" customWidth="1"/>
    <col min="10" max="10" width="10.69140625" customWidth="1"/>
    <col min="11" max="11" width="7.69140625" customWidth="1"/>
    <col min="12" max="12" width="10.69140625" style="30" customWidth="1"/>
    <col min="13" max="13" width="7.69140625" customWidth="1"/>
  </cols>
  <sheetData>
    <row r="1" spans="1:13" ht="30" customHeight="1" x14ac:dyDescent="0.3">
      <c r="A1" s="74" t="s">
        <v>52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15" customHeight="1" thickBot="1" x14ac:dyDescent="0.35"/>
    <row r="3" spans="1:13" ht="15" customHeight="1" x14ac:dyDescent="0.3">
      <c r="A3" s="67" t="s">
        <v>48</v>
      </c>
      <c r="B3" s="70" t="s">
        <v>61</v>
      </c>
      <c r="C3" s="71"/>
      <c r="D3" s="71"/>
      <c r="E3" s="72"/>
      <c r="F3" s="70" t="s">
        <v>62</v>
      </c>
      <c r="G3" s="71"/>
      <c r="H3" s="71"/>
      <c r="I3" s="72"/>
      <c r="J3" s="70" t="s">
        <v>63</v>
      </c>
      <c r="K3" s="71"/>
      <c r="L3" s="71"/>
      <c r="M3" s="73"/>
    </row>
    <row r="4" spans="1:13" ht="15" customHeight="1" x14ac:dyDescent="0.3">
      <c r="A4" s="68"/>
      <c r="B4" s="75" t="s">
        <v>37</v>
      </c>
      <c r="C4" s="76"/>
      <c r="D4" s="76"/>
      <c r="E4" s="77"/>
      <c r="F4" s="75" t="s">
        <v>38</v>
      </c>
      <c r="G4" s="76"/>
      <c r="H4" s="76"/>
      <c r="I4" s="77"/>
      <c r="J4" s="75" t="s">
        <v>39</v>
      </c>
      <c r="K4" s="76"/>
      <c r="L4" s="76"/>
      <c r="M4" s="78"/>
    </row>
    <row r="5" spans="1:13" s="3" customFormat="1" ht="15" customHeight="1" x14ac:dyDescent="0.3">
      <c r="A5" s="68"/>
      <c r="B5" s="1" t="s">
        <v>3</v>
      </c>
      <c r="C5" s="50" t="s">
        <v>4</v>
      </c>
      <c r="D5" s="51" t="s">
        <v>3</v>
      </c>
      <c r="E5" s="2" t="s">
        <v>4</v>
      </c>
      <c r="F5" s="1" t="s">
        <v>3</v>
      </c>
      <c r="G5" s="50" t="s">
        <v>4</v>
      </c>
      <c r="H5" s="51" t="s">
        <v>3</v>
      </c>
      <c r="I5" s="2" t="s">
        <v>4</v>
      </c>
      <c r="J5" s="1" t="s">
        <v>3</v>
      </c>
      <c r="K5" s="50" t="s">
        <v>4</v>
      </c>
      <c r="L5" s="51" t="s">
        <v>3</v>
      </c>
      <c r="M5" s="8" t="s">
        <v>4</v>
      </c>
    </row>
    <row r="6" spans="1:13" s="3" customFormat="1" ht="15" customHeight="1" thickBot="1" x14ac:dyDescent="0.35">
      <c r="A6" s="69"/>
      <c r="B6" s="4" t="s">
        <v>5</v>
      </c>
      <c r="C6" s="5" t="s">
        <v>6</v>
      </c>
      <c r="D6" s="31" t="s">
        <v>7</v>
      </c>
      <c r="E6" s="6" t="s">
        <v>6</v>
      </c>
      <c r="F6" s="4" t="s">
        <v>5</v>
      </c>
      <c r="G6" s="5" t="s">
        <v>6</v>
      </c>
      <c r="H6" s="31" t="s">
        <v>7</v>
      </c>
      <c r="I6" s="6" t="s">
        <v>6</v>
      </c>
      <c r="J6" s="4" t="s">
        <v>5</v>
      </c>
      <c r="K6" s="5" t="s">
        <v>6</v>
      </c>
      <c r="L6" s="31" t="s">
        <v>7</v>
      </c>
      <c r="M6" s="7" t="s">
        <v>6</v>
      </c>
    </row>
    <row r="7" spans="1:13" ht="15" customHeight="1" x14ac:dyDescent="0.3">
      <c r="A7" s="9" t="s">
        <v>8</v>
      </c>
      <c r="B7" s="10">
        <v>492817</v>
      </c>
      <c r="C7" s="11">
        <v>28.9</v>
      </c>
      <c r="D7" s="12">
        <v>81.3</v>
      </c>
      <c r="E7" s="52" t="s">
        <v>9</v>
      </c>
      <c r="F7" s="10">
        <v>11019448</v>
      </c>
      <c r="G7" s="11">
        <v>6.5</v>
      </c>
      <c r="H7" s="12">
        <v>67.3</v>
      </c>
      <c r="I7" s="52" t="s">
        <v>9</v>
      </c>
      <c r="J7" s="10">
        <v>669681</v>
      </c>
      <c r="K7" s="11">
        <v>21</v>
      </c>
      <c r="L7" s="12">
        <v>41.4</v>
      </c>
      <c r="M7" s="14" t="s">
        <v>9</v>
      </c>
    </row>
    <row r="8" spans="1:13" ht="15" customHeight="1" x14ac:dyDescent="0.3">
      <c r="A8" s="15" t="s">
        <v>10</v>
      </c>
      <c r="B8" s="16">
        <v>0</v>
      </c>
      <c r="C8" s="17" t="s">
        <v>9</v>
      </c>
      <c r="D8" s="18">
        <v>0</v>
      </c>
      <c r="E8" s="53" t="s">
        <v>9</v>
      </c>
      <c r="F8" s="16">
        <v>238707</v>
      </c>
      <c r="G8" s="17">
        <v>32</v>
      </c>
      <c r="H8" s="18">
        <v>56.3</v>
      </c>
      <c r="I8" s="53" t="s">
        <v>9</v>
      </c>
      <c r="J8" s="16">
        <v>0</v>
      </c>
      <c r="K8" s="17" t="s">
        <v>9</v>
      </c>
      <c r="L8" s="18">
        <v>0</v>
      </c>
      <c r="M8" s="20" t="s">
        <v>9</v>
      </c>
    </row>
    <row r="9" spans="1:13" ht="15" customHeight="1" x14ac:dyDescent="0.3">
      <c r="A9" s="15" t="s">
        <v>11</v>
      </c>
      <c r="B9" s="16">
        <v>167447</v>
      </c>
      <c r="C9" s="17">
        <v>48.2</v>
      </c>
      <c r="D9" s="18">
        <v>76</v>
      </c>
      <c r="E9" s="53" t="s">
        <v>9</v>
      </c>
      <c r="F9" s="16">
        <v>6812691</v>
      </c>
      <c r="G9" s="17">
        <v>10</v>
      </c>
      <c r="H9" s="18">
        <v>83</v>
      </c>
      <c r="I9" s="53" t="s">
        <v>9</v>
      </c>
      <c r="J9" s="16">
        <v>2946267</v>
      </c>
      <c r="K9" s="17">
        <v>12.4</v>
      </c>
      <c r="L9" s="18">
        <v>36.1</v>
      </c>
      <c r="M9" s="20" t="s">
        <v>9</v>
      </c>
    </row>
    <row r="10" spans="1:13" ht="15" customHeight="1" x14ac:dyDescent="0.3">
      <c r="A10" s="15" t="s">
        <v>12</v>
      </c>
      <c r="B10" s="16">
        <v>0</v>
      </c>
      <c r="C10" s="17" t="s">
        <v>9</v>
      </c>
      <c r="D10" s="18">
        <v>0</v>
      </c>
      <c r="E10" s="53" t="s">
        <v>9</v>
      </c>
      <c r="F10" s="16">
        <v>124987</v>
      </c>
      <c r="G10" s="17">
        <v>53.8</v>
      </c>
      <c r="H10" s="18">
        <v>66.099999999999994</v>
      </c>
      <c r="I10" s="53" t="s">
        <v>9</v>
      </c>
      <c r="J10" s="16">
        <v>523963</v>
      </c>
      <c r="K10" s="17">
        <v>22.7</v>
      </c>
      <c r="L10" s="18">
        <v>59.4</v>
      </c>
      <c r="M10" s="20" t="s">
        <v>9</v>
      </c>
    </row>
    <row r="11" spans="1:13" ht="15" customHeight="1" x14ac:dyDescent="0.3">
      <c r="A11" s="15" t="s">
        <v>13</v>
      </c>
      <c r="B11" s="16">
        <v>0</v>
      </c>
      <c r="C11" s="17" t="s">
        <v>9</v>
      </c>
      <c r="D11" s="18">
        <v>0</v>
      </c>
      <c r="E11" s="53" t="s">
        <v>9</v>
      </c>
      <c r="F11" s="16">
        <v>131671</v>
      </c>
      <c r="G11" s="17">
        <v>56.4</v>
      </c>
      <c r="H11" s="18">
        <v>91.3</v>
      </c>
      <c r="I11" s="53" t="s">
        <v>9</v>
      </c>
      <c r="J11" s="16">
        <v>1855111</v>
      </c>
      <c r="K11" s="17">
        <v>17.100000000000001</v>
      </c>
      <c r="L11" s="18">
        <v>45.4</v>
      </c>
      <c r="M11" s="20" t="s">
        <v>9</v>
      </c>
    </row>
    <row r="12" spans="1:13" ht="15" customHeight="1" x14ac:dyDescent="0.3">
      <c r="A12" s="15" t="s">
        <v>14</v>
      </c>
      <c r="B12" s="16">
        <v>0</v>
      </c>
      <c r="C12" s="17" t="s">
        <v>9</v>
      </c>
      <c r="D12" s="18">
        <v>0</v>
      </c>
      <c r="E12" s="53" t="s">
        <v>9</v>
      </c>
      <c r="F12" s="16">
        <v>981161</v>
      </c>
      <c r="G12" s="17">
        <v>19.399999999999999</v>
      </c>
      <c r="H12" s="18">
        <v>57</v>
      </c>
      <c r="I12" s="53" t="s">
        <v>9</v>
      </c>
      <c r="J12" s="16">
        <v>4433499</v>
      </c>
      <c r="K12" s="17">
        <v>10.5</v>
      </c>
      <c r="L12" s="18">
        <v>54.1</v>
      </c>
      <c r="M12" s="20" t="s">
        <v>9</v>
      </c>
    </row>
    <row r="13" spans="1:13" ht="15" customHeight="1" x14ac:dyDescent="0.3">
      <c r="A13" s="15" t="s">
        <v>15</v>
      </c>
      <c r="B13" s="16">
        <v>0</v>
      </c>
      <c r="C13" s="17" t="s">
        <v>9</v>
      </c>
      <c r="D13" s="18">
        <v>0</v>
      </c>
      <c r="E13" s="53" t="s">
        <v>9</v>
      </c>
      <c r="F13" s="16">
        <v>1353065</v>
      </c>
      <c r="G13" s="17">
        <v>18.600000000000001</v>
      </c>
      <c r="H13" s="18">
        <v>110.3</v>
      </c>
      <c r="I13" s="53" t="s">
        <v>9</v>
      </c>
      <c r="J13" s="16">
        <v>2039262</v>
      </c>
      <c r="K13" s="17">
        <v>16.2</v>
      </c>
      <c r="L13" s="18">
        <v>43.6</v>
      </c>
      <c r="M13" s="20" t="s">
        <v>9</v>
      </c>
    </row>
    <row r="14" spans="1:13" ht="15" customHeight="1" x14ac:dyDescent="0.3">
      <c r="A14" s="15" t="s">
        <v>16</v>
      </c>
      <c r="B14" s="16">
        <v>743331</v>
      </c>
      <c r="C14" s="17">
        <v>21.3</v>
      </c>
      <c r="D14" s="18">
        <v>66.099999999999994</v>
      </c>
      <c r="E14" s="53" t="s">
        <v>9</v>
      </c>
      <c r="F14" s="16">
        <v>6424857</v>
      </c>
      <c r="G14" s="54">
        <v>7.9</v>
      </c>
      <c r="H14" s="18">
        <v>58.6</v>
      </c>
      <c r="I14" s="53" t="s">
        <v>9</v>
      </c>
      <c r="J14" s="16">
        <v>1877628</v>
      </c>
      <c r="K14" s="17">
        <v>14.6</v>
      </c>
      <c r="L14" s="18">
        <v>40.6</v>
      </c>
      <c r="M14" s="20" t="s">
        <v>9</v>
      </c>
    </row>
    <row r="15" spans="1:13" ht="15" customHeight="1" x14ac:dyDescent="0.3">
      <c r="A15" s="15" t="s">
        <v>17</v>
      </c>
      <c r="B15" s="16">
        <v>4911652</v>
      </c>
      <c r="C15" s="54">
        <v>11.6</v>
      </c>
      <c r="D15" s="18">
        <v>48.5</v>
      </c>
      <c r="E15" s="54" t="s">
        <v>9</v>
      </c>
      <c r="F15" s="16">
        <v>2685483</v>
      </c>
      <c r="G15" s="17">
        <v>12.4</v>
      </c>
      <c r="H15" s="18">
        <v>66.3</v>
      </c>
      <c r="I15" s="54" t="s">
        <v>9</v>
      </c>
      <c r="J15" s="16">
        <v>4616451</v>
      </c>
      <c r="K15" s="17">
        <v>9.8000000000000007</v>
      </c>
      <c r="L15" s="18">
        <v>41.5</v>
      </c>
      <c r="M15" s="20" t="s">
        <v>9</v>
      </c>
    </row>
    <row r="16" spans="1:13" ht="15" customHeight="1" x14ac:dyDescent="0.3">
      <c r="A16" s="15" t="s">
        <v>18</v>
      </c>
      <c r="B16" s="16">
        <v>11182837</v>
      </c>
      <c r="C16" s="54">
        <v>7</v>
      </c>
      <c r="D16" s="18">
        <v>44.6</v>
      </c>
      <c r="E16" s="54" t="s">
        <v>9</v>
      </c>
      <c r="F16" s="16">
        <v>10041810</v>
      </c>
      <c r="G16" s="17">
        <v>7.2</v>
      </c>
      <c r="H16" s="18">
        <v>64.3</v>
      </c>
      <c r="I16" s="54" t="s">
        <v>9</v>
      </c>
      <c r="J16" s="16">
        <v>3118463</v>
      </c>
      <c r="K16" s="17">
        <v>11.9</v>
      </c>
      <c r="L16" s="18">
        <v>48.2</v>
      </c>
      <c r="M16" s="20" t="s">
        <v>9</v>
      </c>
    </row>
    <row r="17" spans="1:13" ht="15" customHeight="1" x14ac:dyDescent="0.3">
      <c r="A17" s="15" t="s">
        <v>19</v>
      </c>
      <c r="B17" s="16">
        <v>5184402</v>
      </c>
      <c r="C17" s="54">
        <v>9.5</v>
      </c>
      <c r="D17" s="18">
        <v>40.299999999999997</v>
      </c>
      <c r="E17" s="54" t="s">
        <v>9</v>
      </c>
      <c r="F17" s="16">
        <v>105240</v>
      </c>
      <c r="G17" s="54">
        <v>49.4</v>
      </c>
      <c r="H17" s="18">
        <v>47.6</v>
      </c>
      <c r="I17" s="54" t="s">
        <v>9</v>
      </c>
      <c r="J17" s="16">
        <v>1734302</v>
      </c>
      <c r="K17" s="54">
        <v>13.4</v>
      </c>
      <c r="L17" s="18">
        <v>29.6</v>
      </c>
      <c r="M17" s="20" t="s">
        <v>9</v>
      </c>
    </row>
    <row r="18" spans="1:13" ht="15" customHeight="1" x14ac:dyDescent="0.3">
      <c r="A18" s="15" t="s">
        <v>20</v>
      </c>
      <c r="B18" s="16">
        <v>1486397</v>
      </c>
      <c r="C18" s="54">
        <v>21.5</v>
      </c>
      <c r="D18" s="18">
        <v>60.1</v>
      </c>
      <c r="E18" s="54" t="s">
        <v>9</v>
      </c>
      <c r="F18" s="16">
        <v>240720</v>
      </c>
      <c r="G18" s="17">
        <v>34.9</v>
      </c>
      <c r="H18" s="18">
        <v>65</v>
      </c>
      <c r="I18" s="54" t="s">
        <v>9</v>
      </c>
      <c r="J18" s="16">
        <v>2453564</v>
      </c>
      <c r="K18" s="54">
        <v>11.4</v>
      </c>
      <c r="L18" s="18">
        <v>32.200000000000003</v>
      </c>
      <c r="M18" s="20" t="s">
        <v>9</v>
      </c>
    </row>
    <row r="19" spans="1:13" ht="15" customHeight="1" x14ac:dyDescent="0.3">
      <c r="A19" s="15" t="s">
        <v>21</v>
      </c>
      <c r="B19" s="16">
        <v>7072562</v>
      </c>
      <c r="C19" s="54">
        <v>10.4</v>
      </c>
      <c r="D19" s="18">
        <v>53.4</v>
      </c>
      <c r="E19" s="54" t="s">
        <v>9</v>
      </c>
      <c r="F19" s="16">
        <v>1988704</v>
      </c>
      <c r="G19" s="17">
        <v>17.399999999999999</v>
      </c>
      <c r="H19" s="18">
        <v>55.6</v>
      </c>
      <c r="I19" s="54" t="s">
        <v>9</v>
      </c>
      <c r="J19" s="16">
        <v>3621142</v>
      </c>
      <c r="K19" s="54">
        <v>10.4</v>
      </c>
      <c r="L19" s="18">
        <v>37</v>
      </c>
      <c r="M19" s="20" t="s">
        <v>9</v>
      </c>
    </row>
    <row r="20" spans="1:13" ht="15" customHeight="1" x14ac:dyDescent="0.3">
      <c r="A20" s="15" t="s">
        <v>22</v>
      </c>
      <c r="B20" s="16">
        <v>1821851</v>
      </c>
      <c r="C20" s="54">
        <v>16.899999999999999</v>
      </c>
      <c r="D20" s="18">
        <v>56.7</v>
      </c>
      <c r="E20" s="54" t="s">
        <v>9</v>
      </c>
      <c r="F20" s="16">
        <v>332968</v>
      </c>
      <c r="G20" s="17">
        <v>28.9</v>
      </c>
      <c r="H20" s="18">
        <v>70.8</v>
      </c>
      <c r="I20" s="54" t="s">
        <v>9</v>
      </c>
      <c r="J20" s="16">
        <v>1859831</v>
      </c>
      <c r="K20" s="17">
        <v>14.4</v>
      </c>
      <c r="L20" s="18">
        <v>38.799999999999997</v>
      </c>
      <c r="M20" s="20" t="s">
        <v>9</v>
      </c>
    </row>
    <row r="21" spans="1:13" ht="15" customHeight="1" x14ac:dyDescent="0.3">
      <c r="A21" s="15" t="s">
        <v>23</v>
      </c>
      <c r="B21" s="16">
        <v>2892205</v>
      </c>
      <c r="C21" s="54">
        <v>15.7</v>
      </c>
      <c r="D21" s="18">
        <v>55.6</v>
      </c>
      <c r="E21" s="54" t="s">
        <v>9</v>
      </c>
      <c r="F21" s="16">
        <v>22565</v>
      </c>
      <c r="G21" s="54">
        <v>100</v>
      </c>
      <c r="H21" s="18">
        <v>57.8</v>
      </c>
      <c r="I21" s="54" t="s">
        <v>9</v>
      </c>
      <c r="J21" s="16">
        <v>525174</v>
      </c>
      <c r="K21" s="17">
        <v>23</v>
      </c>
      <c r="L21" s="18">
        <v>58.5</v>
      </c>
      <c r="M21" s="20" t="s">
        <v>9</v>
      </c>
    </row>
    <row r="22" spans="1:13" ht="15" customHeight="1" x14ac:dyDescent="0.3">
      <c r="A22" s="15" t="s">
        <v>24</v>
      </c>
      <c r="B22" s="16">
        <v>3798068</v>
      </c>
      <c r="C22" s="54">
        <v>15.8</v>
      </c>
      <c r="D22" s="18">
        <v>50.9</v>
      </c>
      <c r="E22" s="54" t="s">
        <v>9</v>
      </c>
      <c r="F22" s="16">
        <v>1899607</v>
      </c>
      <c r="G22" s="54">
        <v>14.6</v>
      </c>
      <c r="H22" s="18">
        <v>33.9</v>
      </c>
      <c r="I22" s="54" t="s">
        <v>9</v>
      </c>
      <c r="J22" s="16">
        <v>2251091</v>
      </c>
      <c r="K22" s="54">
        <v>16.399999999999999</v>
      </c>
      <c r="L22" s="18">
        <v>42.4</v>
      </c>
      <c r="M22" s="20" t="s">
        <v>9</v>
      </c>
    </row>
    <row r="23" spans="1:13" ht="15" customHeight="1" x14ac:dyDescent="0.3">
      <c r="A23" s="15" t="s">
        <v>25</v>
      </c>
      <c r="B23" s="16">
        <v>1593687</v>
      </c>
      <c r="C23" s="54">
        <v>20.3</v>
      </c>
      <c r="D23" s="18">
        <v>41.2</v>
      </c>
      <c r="E23" s="54" t="s">
        <v>9</v>
      </c>
      <c r="F23" s="16">
        <v>63349</v>
      </c>
      <c r="G23" s="54">
        <v>57.7</v>
      </c>
      <c r="H23" s="18">
        <v>54.4</v>
      </c>
      <c r="I23" s="54" t="s">
        <v>9</v>
      </c>
      <c r="J23" s="16">
        <v>227073</v>
      </c>
      <c r="K23" s="54">
        <v>34.9</v>
      </c>
      <c r="L23" s="18">
        <v>48.7</v>
      </c>
      <c r="M23" s="20" t="s">
        <v>9</v>
      </c>
    </row>
    <row r="24" spans="1:13" ht="15" customHeight="1" x14ac:dyDescent="0.3">
      <c r="A24" s="15" t="s">
        <v>26</v>
      </c>
      <c r="B24" s="16">
        <v>6409429</v>
      </c>
      <c r="C24" s="54">
        <v>10.4</v>
      </c>
      <c r="D24" s="18">
        <v>49</v>
      </c>
      <c r="E24" s="54" t="s">
        <v>9</v>
      </c>
      <c r="F24" s="16">
        <v>358274</v>
      </c>
      <c r="G24" s="54">
        <v>32.799999999999997</v>
      </c>
      <c r="H24" s="18">
        <v>60.2</v>
      </c>
      <c r="I24" s="54" t="s">
        <v>9</v>
      </c>
      <c r="J24" s="16">
        <v>324867</v>
      </c>
      <c r="K24" s="17">
        <v>26.3</v>
      </c>
      <c r="L24" s="18">
        <v>45.9</v>
      </c>
      <c r="M24" s="20" t="s">
        <v>9</v>
      </c>
    </row>
    <row r="25" spans="1:13" ht="15" customHeight="1" x14ac:dyDescent="0.3">
      <c r="A25" s="15" t="s">
        <v>27</v>
      </c>
      <c r="B25" s="16">
        <v>3501031</v>
      </c>
      <c r="C25" s="54">
        <v>15.2</v>
      </c>
      <c r="D25" s="18">
        <v>80.3</v>
      </c>
      <c r="E25" s="54" t="s">
        <v>9</v>
      </c>
      <c r="F25" s="16">
        <v>2948720</v>
      </c>
      <c r="G25" s="54">
        <v>16.100000000000001</v>
      </c>
      <c r="H25" s="18">
        <v>42.8</v>
      </c>
      <c r="I25" s="54" t="s">
        <v>9</v>
      </c>
      <c r="J25" s="16">
        <v>62579</v>
      </c>
      <c r="K25" s="17">
        <v>86.9</v>
      </c>
      <c r="L25" s="18">
        <v>14</v>
      </c>
      <c r="M25" s="20" t="s">
        <v>9</v>
      </c>
    </row>
    <row r="26" spans="1:13" ht="15" customHeight="1" x14ac:dyDescent="0.3">
      <c r="A26" s="15" t="s">
        <v>28</v>
      </c>
      <c r="B26" s="16">
        <v>1382448</v>
      </c>
      <c r="C26" s="54">
        <v>17.2</v>
      </c>
      <c r="D26" s="18">
        <v>44.6</v>
      </c>
      <c r="E26" s="54" t="s">
        <v>9</v>
      </c>
      <c r="F26" s="16">
        <v>408285</v>
      </c>
      <c r="G26" s="54">
        <v>27.9</v>
      </c>
      <c r="H26" s="18">
        <v>46.8</v>
      </c>
      <c r="I26" s="54" t="s">
        <v>9</v>
      </c>
      <c r="J26" s="16">
        <v>28898</v>
      </c>
      <c r="K26" s="54">
        <v>69.900000000000006</v>
      </c>
      <c r="L26" s="18">
        <v>16.600000000000001</v>
      </c>
      <c r="M26" s="20" t="s">
        <v>9</v>
      </c>
    </row>
    <row r="27" spans="1:13" ht="15" customHeight="1" thickBot="1" x14ac:dyDescent="0.35">
      <c r="A27" s="21" t="s">
        <v>29</v>
      </c>
      <c r="B27" s="22">
        <v>0</v>
      </c>
      <c r="C27" s="55" t="s">
        <v>9</v>
      </c>
      <c r="D27" s="37">
        <v>0</v>
      </c>
      <c r="E27" s="55" t="s">
        <v>9</v>
      </c>
      <c r="F27" s="22">
        <v>82088</v>
      </c>
      <c r="G27" s="55">
        <v>46.9</v>
      </c>
      <c r="H27" s="37">
        <v>44</v>
      </c>
      <c r="I27" s="55" t="s">
        <v>9</v>
      </c>
      <c r="J27" s="22">
        <v>0</v>
      </c>
      <c r="K27" s="55" t="s">
        <v>9</v>
      </c>
      <c r="L27" s="37">
        <v>0</v>
      </c>
      <c r="M27" s="56" t="s">
        <v>9</v>
      </c>
    </row>
    <row r="28" spans="1:13" ht="15" customHeight="1" thickBot="1" x14ac:dyDescent="0.35">
      <c r="A28" s="23" t="s">
        <v>30</v>
      </c>
      <c r="B28" s="24">
        <v>52640165</v>
      </c>
      <c r="C28" s="25">
        <v>3.5</v>
      </c>
      <c r="D28" s="26">
        <v>49.7</v>
      </c>
      <c r="E28" s="27">
        <v>3.1</v>
      </c>
      <c r="F28" s="24">
        <v>48264400</v>
      </c>
      <c r="G28" s="25">
        <v>3.2</v>
      </c>
      <c r="H28" s="26">
        <v>62</v>
      </c>
      <c r="I28" s="27">
        <v>2.5</v>
      </c>
      <c r="J28" s="28">
        <v>35168847</v>
      </c>
      <c r="K28" s="25">
        <v>3.5</v>
      </c>
      <c r="L28" s="26">
        <v>40.9</v>
      </c>
      <c r="M28" s="29">
        <v>2.9</v>
      </c>
    </row>
    <row r="29" spans="1:13" s="57" customFormat="1" ht="15" customHeight="1" x14ac:dyDescent="0.3">
      <c r="B29" s="58"/>
      <c r="D29" s="59"/>
      <c r="F29" s="58"/>
      <c r="H29" s="59"/>
      <c r="J29" s="58"/>
      <c r="L29" s="59"/>
    </row>
    <row r="30" spans="1:13" ht="15" customHeight="1" x14ac:dyDescent="0.3">
      <c r="A30" t="s">
        <v>73</v>
      </c>
    </row>
    <row r="31" spans="1:13" ht="15" customHeight="1" x14ac:dyDescent="0.3">
      <c r="A31" t="s">
        <v>74</v>
      </c>
    </row>
  </sheetData>
  <mergeCells count="8">
    <mergeCell ref="A3:A6"/>
    <mergeCell ref="B3:E3"/>
    <mergeCell ref="F3:I3"/>
    <mergeCell ref="J3:M3"/>
    <mergeCell ref="A1:M1"/>
    <mergeCell ref="B4:E4"/>
    <mergeCell ref="F4:I4"/>
    <mergeCell ref="J4:M4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4" orientation="landscape" horizontalDpi="360" verticalDpi="360" r:id="rId1"/>
  <headerFooter alignWithMargins="0">
    <oddHeader>&amp;CNational Inventory of Forests and Forest Carbon Pools - Inventario Nazionale delle Foreste e dei serbatoi forestali di Carbonio
INFC2015</oddHeader>
    <oddFooter>&amp;CArma dei Carabinieri - Consiglio per la ricerca in agricoltura e l'analisi dell'economia agraria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1"/>
  <sheetViews>
    <sheetView zoomScale="90" zoomScaleNormal="90" workbookViewId="0">
      <selection activeCell="B3" sqref="B3:E3"/>
    </sheetView>
  </sheetViews>
  <sheetFormatPr defaultRowHeight="15" customHeight="1" x14ac:dyDescent="0.3"/>
  <cols>
    <col min="1" max="1" width="20.69140625" customWidth="1"/>
    <col min="2" max="2" width="10.69140625" customWidth="1"/>
    <col min="3" max="3" width="7.69140625" customWidth="1"/>
    <col min="4" max="4" width="10.69140625" style="30" customWidth="1"/>
    <col min="5" max="5" width="7.69140625" customWidth="1"/>
    <col min="6" max="6" width="10.69140625" customWidth="1"/>
    <col min="7" max="7" width="7.69140625" customWidth="1"/>
    <col min="8" max="8" width="10.69140625" style="30" customWidth="1"/>
    <col min="9" max="9" width="7.69140625" customWidth="1"/>
    <col min="10" max="10" width="10.69140625" customWidth="1"/>
    <col min="11" max="11" width="7.69140625" customWidth="1"/>
    <col min="12" max="12" width="10.69140625" style="30" customWidth="1"/>
    <col min="13" max="13" width="7.69140625" customWidth="1"/>
  </cols>
  <sheetData>
    <row r="1" spans="1:13" ht="30" customHeight="1" x14ac:dyDescent="0.3">
      <c r="A1" s="74" t="s">
        <v>53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15" customHeight="1" thickBot="1" x14ac:dyDescent="0.35"/>
    <row r="3" spans="1:13" ht="15" customHeight="1" x14ac:dyDescent="0.3">
      <c r="A3" s="67" t="s">
        <v>48</v>
      </c>
      <c r="B3" s="70" t="s">
        <v>64</v>
      </c>
      <c r="C3" s="71"/>
      <c r="D3" s="71"/>
      <c r="E3" s="72"/>
      <c r="F3" s="70" t="s">
        <v>65</v>
      </c>
      <c r="G3" s="71"/>
      <c r="H3" s="71"/>
      <c r="I3" s="72"/>
      <c r="J3" s="70" t="s">
        <v>66</v>
      </c>
      <c r="K3" s="71"/>
      <c r="L3" s="71"/>
      <c r="M3" s="73"/>
    </row>
    <row r="4" spans="1:13" ht="15" customHeight="1" x14ac:dyDescent="0.3">
      <c r="A4" s="68"/>
      <c r="B4" s="75" t="s">
        <v>40</v>
      </c>
      <c r="C4" s="76"/>
      <c r="D4" s="76"/>
      <c r="E4" s="77"/>
      <c r="F4" s="75" t="s">
        <v>41</v>
      </c>
      <c r="G4" s="76"/>
      <c r="H4" s="76"/>
      <c r="I4" s="77"/>
      <c r="J4" s="75" t="s">
        <v>42</v>
      </c>
      <c r="K4" s="76"/>
      <c r="L4" s="76"/>
      <c r="M4" s="78"/>
    </row>
    <row r="5" spans="1:13" s="3" customFormat="1" ht="15" customHeight="1" x14ac:dyDescent="0.3">
      <c r="A5" s="68"/>
      <c r="B5" s="1" t="s">
        <v>3</v>
      </c>
      <c r="C5" s="50" t="s">
        <v>4</v>
      </c>
      <c r="D5" s="51" t="s">
        <v>3</v>
      </c>
      <c r="E5" s="2" t="s">
        <v>4</v>
      </c>
      <c r="F5" s="1" t="s">
        <v>3</v>
      </c>
      <c r="G5" s="50" t="s">
        <v>4</v>
      </c>
      <c r="H5" s="51" t="s">
        <v>3</v>
      </c>
      <c r="I5" s="2" t="s">
        <v>4</v>
      </c>
      <c r="J5" s="1" t="s">
        <v>3</v>
      </c>
      <c r="K5" s="50" t="s">
        <v>4</v>
      </c>
      <c r="L5" s="51" t="s">
        <v>3</v>
      </c>
      <c r="M5" s="8" t="s">
        <v>4</v>
      </c>
    </row>
    <row r="6" spans="1:13" s="3" customFormat="1" ht="15" customHeight="1" thickBot="1" x14ac:dyDescent="0.35">
      <c r="A6" s="69"/>
      <c r="B6" s="4" t="s">
        <v>5</v>
      </c>
      <c r="C6" s="5" t="s">
        <v>6</v>
      </c>
      <c r="D6" s="31" t="s">
        <v>7</v>
      </c>
      <c r="E6" s="6" t="s">
        <v>6</v>
      </c>
      <c r="F6" s="4" t="s">
        <v>5</v>
      </c>
      <c r="G6" s="5" t="s">
        <v>6</v>
      </c>
      <c r="H6" s="31" t="s">
        <v>7</v>
      </c>
      <c r="I6" s="6" t="s">
        <v>6</v>
      </c>
      <c r="J6" s="4" t="s">
        <v>5</v>
      </c>
      <c r="K6" s="5" t="s">
        <v>6</v>
      </c>
      <c r="L6" s="31" t="s">
        <v>7</v>
      </c>
      <c r="M6" s="7" t="s">
        <v>6</v>
      </c>
    </row>
    <row r="7" spans="1:13" ht="15" customHeight="1" x14ac:dyDescent="0.3">
      <c r="A7" s="9" t="s">
        <v>8</v>
      </c>
      <c r="B7" s="10">
        <v>925168</v>
      </c>
      <c r="C7" s="11">
        <v>21.6</v>
      </c>
      <c r="D7" s="12">
        <v>40.700000000000003</v>
      </c>
      <c r="E7" s="52" t="s">
        <v>9</v>
      </c>
      <c r="F7" s="10">
        <v>14436696</v>
      </c>
      <c r="G7" s="11">
        <v>5.6</v>
      </c>
      <c r="H7" s="12">
        <v>44.6</v>
      </c>
      <c r="I7" s="52" t="s">
        <v>9</v>
      </c>
      <c r="J7" s="10">
        <v>0</v>
      </c>
      <c r="K7" s="11" t="s">
        <v>9</v>
      </c>
      <c r="L7" s="12">
        <v>0</v>
      </c>
      <c r="M7" s="14" t="s">
        <v>9</v>
      </c>
    </row>
    <row r="8" spans="1:13" ht="15" customHeight="1" x14ac:dyDescent="0.3">
      <c r="A8" s="15" t="s">
        <v>10</v>
      </c>
      <c r="B8" s="16">
        <v>0</v>
      </c>
      <c r="C8" s="17" t="s">
        <v>9</v>
      </c>
      <c r="D8" s="18">
        <v>0</v>
      </c>
      <c r="E8" s="53" t="s">
        <v>9</v>
      </c>
      <c r="F8" s="16">
        <v>362813</v>
      </c>
      <c r="G8" s="17">
        <v>26.9</v>
      </c>
      <c r="H8" s="18">
        <v>34.5</v>
      </c>
      <c r="I8" s="53" t="s">
        <v>9</v>
      </c>
      <c r="J8" s="16">
        <v>0</v>
      </c>
      <c r="K8" s="17" t="s">
        <v>9</v>
      </c>
      <c r="L8" s="18">
        <v>0</v>
      </c>
      <c r="M8" s="20" t="s">
        <v>9</v>
      </c>
    </row>
    <row r="9" spans="1:13" ht="15" customHeight="1" x14ac:dyDescent="0.3">
      <c r="A9" s="15" t="s">
        <v>11</v>
      </c>
      <c r="B9" s="16">
        <v>784031</v>
      </c>
      <c r="C9" s="17">
        <v>20.5</v>
      </c>
      <c r="D9" s="18">
        <v>41.6</v>
      </c>
      <c r="E9" s="53" t="s">
        <v>9</v>
      </c>
      <c r="F9" s="16">
        <v>6378800</v>
      </c>
      <c r="G9" s="17">
        <v>9.8000000000000007</v>
      </c>
      <c r="H9" s="18">
        <v>52.7</v>
      </c>
      <c r="I9" s="53" t="s">
        <v>9</v>
      </c>
      <c r="J9" s="16">
        <v>0</v>
      </c>
      <c r="K9" s="17" t="s">
        <v>9</v>
      </c>
      <c r="L9" s="18">
        <v>0</v>
      </c>
      <c r="M9" s="20" t="s">
        <v>9</v>
      </c>
    </row>
    <row r="10" spans="1:13" ht="15" customHeight="1" x14ac:dyDescent="0.3">
      <c r="A10" s="15" t="s">
        <v>12</v>
      </c>
      <c r="B10" s="16">
        <v>133684</v>
      </c>
      <c r="C10" s="17">
        <v>39.5</v>
      </c>
      <c r="D10" s="18">
        <v>48.7</v>
      </c>
      <c r="E10" s="53" t="s">
        <v>9</v>
      </c>
      <c r="F10" s="16">
        <v>247895</v>
      </c>
      <c r="G10" s="17">
        <v>38.5</v>
      </c>
      <c r="H10" s="18">
        <v>70.2</v>
      </c>
      <c r="I10" s="53" t="s">
        <v>9</v>
      </c>
      <c r="J10" s="16">
        <v>0</v>
      </c>
      <c r="K10" s="17" t="s">
        <v>9</v>
      </c>
      <c r="L10" s="18">
        <v>0</v>
      </c>
      <c r="M10" s="20" t="s">
        <v>9</v>
      </c>
    </row>
    <row r="11" spans="1:13" ht="15" customHeight="1" x14ac:dyDescent="0.3">
      <c r="A11" s="15" t="s">
        <v>13</v>
      </c>
      <c r="B11" s="16">
        <v>259270</v>
      </c>
      <c r="C11" s="17">
        <v>49.4</v>
      </c>
      <c r="D11" s="18">
        <v>67.2</v>
      </c>
      <c r="E11" s="53" t="s">
        <v>9</v>
      </c>
      <c r="F11" s="16">
        <v>878262</v>
      </c>
      <c r="G11" s="17">
        <v>20</v>
      </c>
      <c r="H11" s="18">
        <v>53.3</v>
      </c>
      <c r="I11" s="53" t="s">
        <v>9</v>
      </c>
      <c r="J11" s="16">
        <v>4633</v>
      </c>
      <c r="K11" s="17">
        <v>100</v>
      </c>
      <c r="L11" s="18">
        <v>12.9</v>
      </c>
      <c r="M11" s="20" t="s">
        <v>9</v>
      </c>
    </row>
    <row r="12" spans="1:13" ht="15" customHeight="1" x14ac:dyDescent="0.3">
      <c r="A12" s="15" t="s">
        <v>14</v>
      </c>
      <c r="B12" s="16">
        <v>298064</v>
      </c>
      <c r="C12" s="17">
        <v>27.6</v>
      </c>
      <c r="D12" s="18">
        <v>28.6</v>
      </c>
      <c r="E12" s="53" t="s">
        <v>9</v>
      </c>
      <c r="F12" s="16">
        <v>2164535</v>
      </c>
      <c r="G12" s="17">
        <v>12.8</v>
      </c>
      <c r="H12" s="18">
        <v>41.3</v>
      </c>
      <c r="I12" s="53" t="s">
        <v>9</v>
      </c>
      <c r="J12" s="16">
        <v>196471</v>
      </c>
      <c r="K12" s="17">
        <v>42.4</v>
      </c>
      <c r="L12" s="18">
        <v>65.7</v>
      </c>
      <c r="M12" s="20" t="s">
        <v>9</v>
      </c>
    </row>
    <row r="13" spans="1:13" ht="15" customHeight="1" x14ac:dyDescent="0.3">
      <c r="A13" s="15" t="s">
        <v>15</v>
      </c>
      <c r="B13" s="16">
        <v>255774</v>
      </c>
      <c r="C13" s="17">
        <v>25.4</v>
      </c>
      <c r="D13" s="18">
        <v>20.3</v>
      </c>
      <c r="E13" s="53" t="s">
        <v>9</v>
      </c>
      <c r="F13" s="16">
        <v>2819768</v>
      </c>
      <c r="G13" s="17">
        <v>13.1</v>
      </c>
      <c r="H13" s="18">
        <v>59.4</v>
      </c>
      <c r="I13" s="53" t="s">
        <v>9</v>
      </c>
      <c r="J13" s="16">
        <v>0</v>
      </c>
      <c r="K13" s="17" t="s">
        <v>9</v>
      </c>
      <c r="L13" s="18">
        <v>0</v>
      </c>
      <c r="M13" s="20" t="s">
        <v>9</v>
      </c>
    </row>
    <row r="14" spans="1:13" ht="15" customHeight="1" x14ac:dyDescent="0.3">
      <c r="A14" s="15" t="s">
        <v>16</v>
      </c>
      <c r="B14" s="16">
        <v>206381</v>
      </c>
      <c r="C14" s="17">
        <v>43.3</v>
      </c>
      <c r="D14" s="18">
        <v>62.6</v>
      </c>
      <c r="E14" s="53" t="s">
        <v>9</v>
      </c>
      <c r="F14" s="16">
        <v>1133589</v>
      </c>
      <c r="G14" s="54">
        <v>17.2</v>
      </c>
      <c r="H14" s="18">
        <v>35.6</v>
      </c>
      <c r="I14" s="53" t="s">
        <v>9</v>
      </c>
      <c r="J14" s="16">
        <v>577695</v>
      </c>
      <c r="K14" s="17">
        <v>23.1</v>
      </c>
      <c r="L14" s="18">
        <v>41.5</v>
      </c>
      <c r="M14" s="20" t="s">
        <v>9</v>
      </c>
    </row>
    <row r="15" spans="1:13" ht="15" customHeight="1" x14ac:dyDescent="0.3">
      <c r="A15" s="15" t="s">
        <v>17</v>
      </c>
      <c r="B15" s="16">
        <v>806866</v>
      </c>
      <c r="C15" s="54">
        <v>21.5</v>
      </c>
      <c r="D15" s="18">
        <v>28.6</v>
      </c>
      <c r="E15" s="54" t="s">
        <v>9</v>
      </c>
      <c r="F15" s="16">
        <v>3303365</v>
      </c>
      <c r="G15" s="17">
        <v>14.2</v>
      </c>
      <c r="H15" s="18">
        <v>38.200000000000003</v>
      </c>
      <c r="I15" s="54" t="s">
        <v>9</v>
      </c>
      <c r="J15" s="16">
        <v>54828</v>
      </c>
      <c r="K15" s="17">
        <v>72.8</v>
      </c>
      <c r="L15" s="18">
        <v>74.400000000000006</v>
      </c>
      <c r="M15" s="20" t="s">
        <v>9</v>
      </c>
    </row>
    <row r="16" spans="1:13" ht="15" customHeight="1" x14ac:dyDescent="0.3">
      <c r="A16" s="15" t="s">
        <v>18</v>
      </c>
      <c r="B16" s="16">
        <v>1288226</v>
      </c>
      <c r="C16" s="54">
        <v>17.8</v>
      </c>
      <c r="D16" s="18">
        <v>46.4</v>
      </c>
      <c r="E16" s="54" t="s">
        <v>9</v>
      </c>
      <c r="F16" s="16">
        <v>3779307</v>
      </c>
      <c r="G16" s="17">
        <v>11.6</v>
      </c>
      <c r="H16" s="18">
        <v>44.7</v>
      </c>
      <c r="I16" s="54" t="s">
        <v>9</v>
      </c>
      <c r="J16" s="16">
        <v>5807392</v>
      </c>
      <c r="K16" s="17">
        <v>8.5</v>
      </c>
      <c r="L16" s="18">
        <v>44.8</v>
      </c>
      <c r="M16" s="20" t="s">
        <v>9</v>
      </c>
    </row>
    <row r="17" spans="1:13" ht="15" customHeight="1" x14ac:dyDescent="0.3">
      <c r="A17" s="15" t="s">
        <v>19</v>
      </c>
      <c r="B17" s="16">
        <v>435681</v>
      </c>
      <c r="C17" s="54">
        <v>40.299999999999997</v>
      </c>
      <c r="D17" s="18">
        <v>54.2</v>
      </c>
      <c r="E17" s="54" t="s">
        <v>9</v>
      </c>
      <c r="F17" s="16">
        <v>318314</v>
      </c>
      <c r="G17" s="54">
        <v>30.4</v>
      </c>
      <c r="H17" s="18">
        <v>28.2</v>
      </c>
      <c r="I17" s="54" t="s">
        <v>9</v>
      </c>
      <c r="J17" s="16">
        <v>2181800</v>
      </c>
      <c r="K17" s="54">
        <v>14.2</v>
      </c>
      <c r="L17" s="18">
        <v>52.8</v>
      </c>
      <c r="M17" s="20" t="s">
        <v>9</v>
      </c>
    </row>
    <row r="18" spans="1:13" ht="15" customHeight="1" x14ac:dyDescent="0.3">
      <c r="A18" s="15" t="s">
        <v>20</v>
      </c>
      <c r="B18" s="16">
        <v>671704</v>
      </c>
      <c r="C18" s="54">
        <v>23.2</v>
      </c>
      <c r="D18" s="18">
        <v>52.1</v>
      </c>
      <c r="E18" s="54" t="s">
        <v>9</v>
      </c>
      <c r="F18" s="16">
        <v>1920642</v>
      </c>
      <c r="G18" s="17">
        <v>15.3</v>
      </c>
      <c r="H18" s="18">
        <v>30.9</v>
      </c>
      <c r="I18" s="54" t="s">
        <v>9</v>
      </c>
      <c r="J18" s="16">
        <v>371611</v>
      </c>
      <c r="K18" s="54">
        <v>27.7</v>
      </c>
      <c r="L18" s="18">
        <v>52.8</v>
      </c>
      <c r="M18" s="20" t="s">
        <v>9</v>
      </c>
    </row>
    <row r="19" spans="1:13" ht="15" customHeight="1" x14ac:dyDescent="0.3">
      <c r="A19" s="15" t="s">
        <v>21</v>
      </c>
      <c r="B19" s="16">
        <v>304617</v>
      </c>
      <c r="C19" s="54">
        <v>28.5</v>
      </c>
      <c r="D19" s="18">
        <v>33.1</v>
      </c>
      <c r="E19" s="54" t="s">
        <v>9</v>
      </c>
      <c r="F19" s="16">
        <v>1737858</v>
      </c>
      <c r="G19" s="17">
        <v>20.6</v>
      </c>
      <c r="H19" s="18">
        <v>32.200000000000003</v>
      </c>
      <c r="I19" s="54" t="s">
        <v>9</v>
      </c>
      <c r="J19" s="16">
        <v>1911020</v>
      </c>
      <c r="K19" s="54">
        <v>19.5</v>
      </c>
      <c r="L19" s="18">
        <v>39.6</v>
      </c>
      <c r="M19" s="20" t="s">
        <v>9</v>
      </c>
    </row>
    <row r="20" spans="1:13" ht="15" customHeight="1" x14ac:dyDescent="0.3">
      <c r="A20" s="15" t="s">
        <v>22</v>
      </c>
      <c r="B20" s="16">
        <v>681347</v>
      </c>
      <c r="C20" s="54">
        <v>22.2</v>
      </c>
      <c r="D20" s="18">
        <v>34.299999999999997</v>
      </c>
      <c r="E20" s="54" t="s">
        <v>9</v>
      </c>
      <c r="F20" s="16">
        <v>1495296</v>
      </c>
      <c r="G20" s="17">
        <v>20.399999999999999</v>
      </c>
      <c r="H20" s="18">
        <v>26.5</v>
      </c>
      <c r="I20" s="54" t="s">
        <v>9</v>
      </c>
      <c r="J20" s="16">
        <v>348678</v>
      </c>
      <c r="K20" s="17">
        <v>32</v>
      </c>
      <c r="L20" s="18">
        <v>40.1</v>
      </c>
      <c r="M20" s="20" t="s">
        <v>9</v>
      </c>
    </row>
    <row r="21" spans="1:13" ht="15" customHeight="1" x14ac:dyDescent="0.3">
      <c r="A21" s="15" t="s">
        <v>23</v>
      </c>
      <c r="B21" s="16">
        <v>192834</v>
      </c>
      <c r="C21" s="54">
        <v>29.7</v>
      </c>
      <c r="D21" s="18">
        <v>21.3</v>
      </c>
      <c r="E21" s="54" t="s">
        <v>9</v>
      </c>
      <c r="F21" s="16">
        <v>396164</v>
      </c>
      <c r="G21" s="54">
        <v>28</v>
      </c>
      <c r="H21" s="18">
        <v>38.700000000000003</v>
      </c>
      <c r="I21" s="54" t="s">
        <v>9</v>
      </c>
      <c r="J21" s="16">
        <v>16856</v>
      </c>
      <c r="K21" s="17">
        <v>82.8</v>
      </c>
      <c r="L21" s="18">
        <v>14.4</v>
      </c>
      <c r="M21" s="20" t="s">
        <v>9</v>
      </c>
    </row>
    <row r="22" spans="1:13" ht="15" customHeight="1" x14ac:dyDescent="0.3">
      <c r="A22" s="15" t="s">
        <v>24</v>
      </c>
      <c r="B22" s="16">
        <v>498320</v>
      </c>
      <c r="C22" s="54">
        <v>33.200000000000003</v>
      </c>
      <c r="D22" s="18">
        <v>45.1</v>
      </c>
      <c r="E22" s="54" t="s">
        <v>9</v>
      </c>
      <c r="F22" s="16">
        <v>1305974</v>
      </c>
      <c r="G22" s="54">
        <v>18.600000000000001</v>
      </c>
      <c r="H22" s="18">
        <v>38</v>
      </c>
      <c r="I22" s="54" t="s">
        <v>9</v>
      </c>
      <c r="J22" s="16">
        <v>1596737</v>
      </c>
      <c r="K22" s="54">
        <v>18.100000000000001</v>
      </c>
      <c r="L22" s="18">
        <v>42.6</v>
      </c>
      <c r="M22" s="20" t="s">
        <v>9</v>
      </c>
    </row>
    <row r="23" spans="1:13" ht="15" customHeight="1" x14ac:dyDescent="0.3">
      <c r="A23" s="15" t="s">
        <v>25</v>
      </c>
      <c r="B23" s="16">
        <v>14612</v>
      </c>
      <c r="C23" s="54">
        <v>100</v>
      </c>
      <c r="D23" s="18">
        <v>37.6</v>
      </c>
      <c r="E23" s="54" t="s">
        <v>9</v>
      </c>
      <c r="F23" s="16">
        <v>801705</v>
      </c>
      <c r="G23" s="54">
        <v>31</v>
      </c>
      <c r="H23" s="18">
        <v>69.5</v>
      </c>
      <c r="I23" s="54" t="s">
        <v>9</v>
      </c>
      <c r="J23" s="16">
        <v>607854</v>
      </c>
      <c r="K23" s="54">
        <v>28.2</v>
      </c>
      <c r="L23" s="18">
        <v>35</v>
      </c>
      <c r="M23" s="20" t="s">
        <v>9</v>
      </c>
    </row>
    <row r="24" spans="1:13" ht="15" customHeight="1" x14ac:dyDescent="0.3">
      <c r="A24" s="15" t="s">
        <v>26</v>
      </c>
      <c r="B24" s="16">
        <v>234373</v>
      </c>
      <c r="C24" s="54">
        <v>29.5</v>
      </c>
      <c r="D24" s="18">
        <v>18.100000000000001</v>
      </c>
      <c r="E24" s="54" t="s">
        <v>9</v>
      </c>
      <c r="F24" s="16">
        <v>984134</v>
      </c>
      <c r="G24" s="54">
        <v>19.3</v>
      </c>
      <c r="H24" s="18">
        <v>32.9</v>
      </c>
      <c r="I24" s="54" t="s">
        <v>9</v>
      </c>
      <c r="J24" s="16">
        <v>285957</v>
      </c>
      <c r="K24" s="17">
        <v>33</v>
      </c>
      <c r="L24" s="18">
        <v>27.6</v>
      </c>
      <c r="M24" s="20" t="s">
        <v>9</v>
      </c>
    </row>
    <row r="25" spans="1:13" ht="15" customHeight="1" x14ac:dyDescent="0.3">
      <c r="A25" s="15" t="s">
        <v>27</v>
      </c>
      <c r="B25" s="16">
        <v>478774</v>
      </c>
      <c r="C25" s="54">
        <v>30.1</v>
      </c>
      <c r="D25" s="18">
        <v>37.200000000000003</v>
      </c>
      <c r="E25" s="54" t="s">
        <v>9</v>
      </c>
      <c r="F25" s="16">
        <v>2133708</v>
      </c>
      <c r="G25" s="54">
        <v>19.100000000000001</v>
      </c>
      <c r="H25" s="18">
        <v>47.3</v>
      </c>
      <c r="I25" s="54" t="s">
        <v>9</v>
      </c>
      <c r="J25" s="16">
        <v>4687637</v>
      </c>
      <c r="K25" s="17">
        <v>25.6</v>
      </c>
      <c r="L25" s="18">
        <v>96.3</v>
      </c>
      <c r="M25" s="20" t="s">
        <v>9</v>
      </c>
    </row>
    <row r="26" spans="1:13" ht="15" customHeight="1" x14ac:dyDescent="0.3">
      <c r="A26" s="15" t="s">
        <v>28</v>
      </c>
      <c r="B26" s="16">
        <v>84288</v>
      </c>
      <c r="C26" s="54">
        <v>30</v>
      </c>
      <c r="D26" s="18">
        <v>17.100000000000001</v>
      </c>
      <c r="E26" s="54" t="s">
        <v>9</v>
      </c>
      <c r="F26" s="16">
        <v>360223</v>
      </c>
      <c r="G26" s="54">
        <v>29.1</v>
      </c>
      <c r="H26" s="18">
        <v>27.2</v>
      </c>
      <c r="I26" s="54" t="s">
        <v>9</v>
      </c>
      <c r="J26" s="16">
        <v>1258392</v>
      </c>
      <c r="K26" s="54">
        <v>22</v>
      </c>
      <c r="L26" s="18">
        <v>64.400000000000006</v>
      </c>
      <c r="M26" s="20" t="s">
        <v>9</v>
      </c>
    </row>
    <row r="27" spans="1:13" ht="15" customHeight="1" thickBot="1" x14ac:dyDescent="0.35">
      <c r="A27" s="21" t="s">
        <v>29</v>
      </c>
      <c r="B27" s="22">
        <v>69631</v>
      </c>
      <c r="C27" s="55">
        <v>36</v>
      </c>
      <c r="D27" s="37">
        <v>20.7</v>
      </c>
      <c r="E27" s="55" t="s">
        <v>9</v>
      </c>
      <c r="F27" s="22">
        <v>33495</v>
      </c>
      <c r="G27" s="55">
        <v>30.4</v>
      </c>
      <c r="H27" s="37">
        <v>4.3</v>
      </c>
      <c r="I27" s="55" t="s">
        <v>9</v>
      </c>
      <c r="J27" s="22">
        <v>9617810</v>
      </c>
      <c r="K27" s="55">
        <v>8.3000000000000007</v>
      </c>
      <c r="L27" s="37">
        <v>37.6</v>
      </c>
      <c r="M27" s="56" t="s">
        <v>9</v>
      </c>
    </row>
    <row r="28" spans="1:13" ht="15" customHeight="1" thickBot="1" x14ac:dyDescent="0.35">
      <c r="A28" s="23" t="s">
        <v>30</v>
      </c>
      <c r="B28" s="24">
        <v>8623644</v>
      </c>
      <c r="C28" s="25">
        <v>6.7</v>
      </c>
      <c r="D28" s="26">
        <v>36.700000000000003</v>
      </c>
      <c r="E28" s="27">
        <v>5.0999999999999996</v>
      </c>
      <c r="F28" s="24">
        <v>46992542</v>
      </c>
      <c r="G28" s="25">
        <v>3.3</v>
      </c>
      <c r="H28" s="26">
        <v>42.2</v>
      </c>
      <c r="I28" s="27">
        <v>2.8</v>
      </c>
      <c r="J28" s="28">
        <v>29525370</v>
      </c>
      <c r="K28" s="25">
        <v>5.7</v>
      </c>
      <c r="L28" s="26">
        <v>45.9</v>
      </c>
      <c r="M28" s="29">
        <v>5.2</v>
      </c>
    </row>
    <row r="29" spans="1:13" s="57" customFormat="1" ht="15" customHeight="1" x14ac:dyDescent="0.3">
      <c r="B29" s="58"/>
      <c r="D29" s="59"/>
      <c r="F29" s="58"/>
      <c r="H29" s="59"/>
      <c r="J29" s="58"/>
      <c r="L29" s="59"/>
    </row>
    <row r="30" spans="1:13" ht="15" customHeight="1" x14ac:dyDescent="0.3">
      <c r="A30" t="s">
        <v>73</v>
      </c>
    </row>
    <row r="31" spans="1:13" ht="15" customHeight="1" x14ac:dyDescent="0.3">
      <c r="A31" t="s">
        <v>74</v>
      </c>
    </row>
  </sheetData>
  <mergeCells count="8">
    <mergeCell ref="A3:A6"/>
    <mergeCell ref="B3:E3"/>
    <mergeCell ref="F3:I3"/>
    <mergeCell ref="J3:M3"/>
    <mergeCell ref="A1:M1"/>
    <mergeCell ref="B4:E4"/>
    <mergeCell ref="F4:I4"/>
    <mergeCell ref="J4:M4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4" orientation="landscape" horizontalDpi="360" verticalDpi="360" r:id="rId1"/>
  <headerFooter alignWithMargins="0">
    <oddHeader>&amp;CNational Inventory of Forests and Forest Carbon Pools - Inventario Nazionale delle Foreste e dei serbatoi forestali di Carbonio
INFC2015</oddHeader>
    <oddFooter>&amp;CArma dei Carabinieri - Consiglio per la ricerca in agricoltura e l'analisi dell'economia agraria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31"/>
  <sheetViews>
    <sheetView zoomScale="90" zoomScaleNormal="90" workbookViewId="0">
      <selection activeCell="D27" sqref="D27"/>
    </sheetView>
  </sheetViews>
  <sheetFormatPr defaultRowHeight="15" customHeight="1" x14ac:dyDescent="0.3"/>
  <cols>
    <col min="1" max="1" width="20.69140625" customWidth="1"/>
    <col min="2" max="2" width="10.69140625" customWidth="1"/>
    <col min="3" max="3" width="7.69140625" customWidth="1"/>
    <col min="4" max="4" width="10.69140625" style="30" customWidth="1"/>
    <col min="5" max="5" width="7.69140625" customWidth="1"/>
    <col min="6" max="6" width="10.69140625" customWidth="1"/>
    <col min="7" max="7" width="7.69140625" customWidth="1"/>
    <col min="8" max="8" width="10.69140625" style="30" customWidth="1"/>
    <col min="9" max="9" width="7.69140625" customWidth="1"/>
    <col min="10" max="10" width="10.69140625" customWidth="1"/>
    <col min="11" max="11" width="7.69140625" customWidth="1"/>
    <col min="12" max="12" width="10.69140625" customWidth="1"/>
    <col min="13" max="13" width="7.69140625" customWidth="1"/>
    <col min="14" max="14" width="11.69140625" customWidth="1"/>
    <col min="15" max="15" width="7.69140625" customWidth="1"/>
    <col min="16" max="16" width="10.69140625" style="30" customWidth="1"/>
    <col min="17" max="17" width="7.69140625" customWidth="1"/>
  </cols>
  <sheetData>
    <row r="1" spans="1:17" ht="25.5" customHeight="1" x14ac:dyDescent="0.3">
      <c r="A1" s="74" t="s">
        <v>54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ht="15" customHeight="1" thickBot="1" x14ac:dyDescent="0.35"/>
    <row r="3" spans="1:17" ht="15" customHeight="1" x14ac:dyDescent="0.3">
      <c r="A3" s="67" t="s">
        <v>48</v>
      </c>
      <c r="B3" s="70" t="s">
        <v>69</v>
      </c>
      <c r="C3" s="71"/>
      <c r="D3" s="71"/>
      <c r="E3" s="72"/>
      <c r="F3" s="70" t="s">
        <v>70</v>
      </c>
      <c r="G3" s="71"/>
      <c r="H3" s="71"/>
      <c r="I3" s="72"/>
      <c r="J3" s="70" t="s">
        <v>71</v>
      </c>
      <c r="K3" s="71"/>
      <c r="L3" s="71"/>
      <c r="M3" s="72"/>
      <c r="N3" s="70" t="s">
        <v>72</v>
      </c>
      <c r="O3" s="71"/>
      <c r="P3" s="71"/>
      <c r="Q3" s="73"/>
    </row>
    <row r="4" spans="1:17" ht="15" customHeight="1" x14ac:dyDescent="0.3">
      <c r="A4" s="68"/>
      <c r="B4" s="75" t="s">
        <v>43</v>
      </c>
      <c r="C4" s="76"/>
      <c r="D4" s="76"/>
      <c r="E4" s="77"/>
      <c r="F4" s="75" t="s">
        <v>44</v>
      </c>
      <c r="G4" s="76"/>
      <c r="H4" s="76"/>
      <c r="I4" s="77"/>
      <c r="J4" s="75" t="s">
        <v>68</v>
      </c>
      <c r="K4" s="76"/>
      <c r="L4" s="76"/>
      <c r="M4" s="77"/>
      <c r="N4" s="79" t="s">
        <v>67</v>
      </c>
      <c r="O4" s="76"/>
      <c r="P4" s="76"/>
      <c r="Q4" s="78"/>
    </row>
    <row r="5" spans="1:17" s="3" customFormat="1" ht="15" customHeight="1" x14ac:dyDescent="0.3">
      <c r="A5" s="68"/>
      <c r="B5" s="1" t="s">
        <v>3</v>
      </c>
      <c r="C5" s="50" t="s">
        <v>4</v>
      </c>
      <c r="D5" s="51" t="s">
        <v>3</v>
      </c>
      <c r="E5" s="2" t="s">
        <v>4</v>
      </c>
      <c r="F5" s="1" t="s">
        <v>3</v>
      </c>
      <c r="G5" s="50" t="s">
        <v>4</v>
      </c>
      <c r="H5" s="51" t="s">
        <v>3</v>
      </c>
      <c r="I5" s="2" t="s">
        <v>4</v>
      </c>
      <c r="J5" s="1" t="s">
        <v>3</v>
      </c>
      <c r="K5" s="50" t="s">
        <v>4</v>
      </c>
      <c r="L5" s="51" t="s">
        <v>3</v>
      </c>
      <c r="M5" s="2" t="s">
        <v>4</v>
      </c>
      <c r="N5" s="46" t="s">
        <v>3</v>
      </c>
      <c r="O5" s="50" t="s">
        <v>4</v>
      </c>
      <c r="P5" s="51" t="s">
        <v>3</v>
      </c>
      <c r="Q5" s="8" t="s">
        <v>4</v>
      </c>
    </row>
    <row r="6" spans="1:17" s="3" customFormat="1" ht="15" customHeight="1" thickBot="1" x14ac:dyDescent="0.35">
      <c r="A6" s="69"/>
      <c r="B6" s="4" t="s">
        <v>5</v>
      </c>
      <c r="C6" s="5" t="s">
        <v>6</v>
      </c>
      <c r="D6" s="31" t="s">
        <v>7</v>
      </c>
      <c r="E6" s="6" t="s">
        <v>6</v>
      </c>
      <c r="F6" s="4" t="s">
        <v>5</v>
      </c>
      <c r="G6" s="5" t="s">
        <v>6</v>
      </c>
      <c r="H6" s="31" t="s">
        <v>7</v>
      </c>
      <c r="I6" s="6" t="s">
        <v>6</v>
      </c>
      <c r="J6" s="4" t="s">
        <v>5</v>
      </c>
      <c r="K6" s="5" t="s">
        <v>6</v>
      </c>
      <c r="L6" s="31" t="s">
        <v>7</v>
      </c>
      <c r="M6" s="6" t="s">
        <v>6</v>
      </c>
      <c r="N6" s="47" t="s">
        <v>5</v>
      </c>
      <c r="O6" s="5" t="s">
        <v>6</v>
      </c>
      <c r="P6" s="31" t="s">
        <v>7</v>
      </c>
      <c r="Q6" s="7" t="s">
        <v>6</v>
      </c>
    </row>
    <row r="7" spans="1:17" ht="15" customHeight="1" x14ac:dyDescent="0.3">
      <c r="A7" s="9" t="s">
        <v>8</v>
      </c>
      <c r="B7" s="10">
        <v>0</v>
      </c>
      <c r="C7" s="11" t="s">
        <v>9</v>
      </c>
      <c r="D7" s="12">
        <v>0</v>
      </c>
      <c r="E7" s="13" t="s">
        <v>9</v>
      </c>
      <c r="F7" s="10">
        <v>0</v>
      </c>
      <c r="G7" s="11" t="s">
        <v>9</v>
      </c>
      <c r="H7" s="12">
        <v>0</v>
      </c>
      <c r="I7" s="13" t="s">
        <v>9</v>
      </c>
      <c r="J7" s="40">
        <v>6438</v>
      </c>
      <c r="K7" s="41">
        <v>100</v>
      </c>
      <c r="L7" s="41">
        <v>12.7</v>
      </c>
      <c r="M7" s="41" t="s">
        <v>9</v>
      </c>
      <c r="N7" s="10">
        <v>49309246</v>
      </c>
      <c r="O7" s="11">
        <v>2.8</v>
      </c>
      <c r="P7" s="12">
        <v>56.7</v>
      </c>
      <c r="Q7" s="14">
        <v>2.4</v>
      </c>
    </row>
    <row r="8" spans="1:17" ht="15" customHeight="1" x14ac:dyDescent="0.3">
      <c r="A8" s="15" t="s">
        <v>10</v>
      </c>
      <c r="B8" s="16">
        <v>0</v>
      </c>
      <c r="C8" s="17" t="s">
        <v>9</v>
      </c>
      <c r="D8" s="18">
        <v>0</v>
      </c>
      <c r="E8" s="19" t="s">
        <v>9</v>
      </c>
      <c r="F8" s="16">
        <v>0</v>
      </c>
      <c r="G8" s="17" t="s">
        <v>9</v>
      </c>
      <c r="H8" s="18">
        <v>0</v>
      </c>
      <c r="I8" s="19" t="s">
        <v>9</v>
      </c>
      <c r="J8" s="32">
        <v>0</v>
      </c>
      <c r="K8" s="42" t="s">
        <v>9</v>
      </c>
      <c r="L8" s="42">
        <v>0</v>
      </c>
      <c r="M8" s="42" t="s">
        <v>9</v>
      </c>
      <c r="N8" s="16">
        <v>5613974</v>
      </c>
      <c r="O8" s="17">
        <v>6.9</v>
      </c>
      <c r="P8" s="18">
        <v>56.6</v>
      </c>
      <c r="Q8" s="20">
        <v>5.6</v>
      </c>
    </row>
    <row r="9" spans="1:17" ht="15" customHeight="1" x14ac:dyDescent="0.3">
      <c r="A9" s="15" t="s">
        <v>11</v>
      </c>
      <c r="B9" s="16">
        <v>0</v>
      </c>
      <c r="C9" s="17" t="s">
        <v>9</v>
      </c>
      <c r="D9" s="18">
        <v>0</v>
      </c>
      <c r="E9" s="19" t="s">
        <v>9</v>
      </c>
      <c r="F9" s="16">
        <v>58486</v>
      </c>
      <c r="G9" s="17">
        <v>62.9</v>
      </c>
      <c r="H9" s="18">
        <v>25.5</v>
      </c>
      <c r="I9" s="19" t="s">
        <v>9</v>
      </c>
      <c r="J9" s="32">
        <v>5951</v>
      </c>
      <c r="K9" s="42">
        <v>100</v>
      </c>
      <c r="L9" s="42">
        <v>13.5</v>
      </c>
      <c r="M9" s="42" t="s">
        <v>9</v>
      </c>
      <c r="N9" s="16">
        <v>40802587</v>
      </c>
      <c r="O9" s="17">
        <v>3.7</v>
      </c>
      <c r="P9" s="18">
        <v>68.400000000000006</v>
      </c>
      <c r="Q9" s="20">
        <v>3.2</v>
      </c>
    </row>
    <row r="10" spans="1:17" ht="15" customHeight="1" x14ac:dyDescent="0.3">
      <c r="A10" s="15" t="s">
        <v>12</v>
      </c>
      <c r="B10" s="16">
        <v>0</v>
      </c>
      <c r="C10" s="17" t="s">
        <v>9</v>
      </c>
      <c r="D10" s="18">
        <v>0</v>
      </c>
      <c r="E10" s="19" t="s">
        <v>9</v>
      </c>
      <c r="F10" s="16">
        <v>0</v>
      </c>
      <c r="G10" s="17" t="s">
        <v>9</v>
      </c>
      <c r="H10" s="18">
        <v>0</v>
      </c>
      <c r="I10" s="19" t="s">
        <v>9</v>
      </c>
      <c r="J10" s="32">
        <v>26732</v>
      </c>
      <c r="K10" s="42">
        <v>76.7</v>
      </c>
      <c r="L10" s="42">
        <v>17.7</v>
      </c>
      <c r="M10" s="42" t="s">
        <v>9</v>
      </c>
      <c r="N10" s="16">
        <v>30753986</v>
      </c>
      <c r="O10" s="17">
        <v>4.3</v>
      </c>
      <c r="P10" s="18">
        <v>90.6</v>
      </c>
      <c r="Q10" s="20">
        <v>3.9</v>
      </c>
    </row>
    <row r="11" spans="1:17" ht="15" customHeight="1" x14ac:dyDescent="0.3">
      <c r="A11" s="15" t="s">
        <v>13</v>
      </c>
      <c r="B11" s="16">
        <v>0</v>
      </c>
      <c r="C11" s="17" t="s">
        <v>9</v>
      </c>
      <c r="D11" s="18">
        <v>0</v>
      </c>
      <c r="E11" s="19" t="s">
        <v>9</v>
      </c>
      <c r="F11" s="16">
        <v>0</v>
      </c>
      <c r="G11" s="17" t="s">
        <v>9</v>
      </c>
      <c r="H11" s="18">
        <v>0</v>
      </c>
      <c r="I11" s="19" t="s">
        <v>9</v>
      </c>
      <c r="J11" s="32">
        <v>0</v>
      </c>
      <c r="K11" s="42" t="s">
        <v>9</v>
      </c>
      <c r="L11" s="42">
        <v>0</v>
      </c>
      <c r="M11" s="42" t="s">
        <v>9</v>
      </c>
      <c r="N11" s="16">
        <v>31919035</v>
      </c>
      <c r="O11" s="17">
        <v>4.3</v>
      </c>
      <c r="P11" s="18">
        <v>85.5</v>
      </c>
      <c r="Q11" s="20">
        <v>4</v>
      </c>
    </row>
    <row r="12" spans="1:17" ht="15" customHeight="1" x14ac:dyDescent="0.3">
      <c r="A12" s="15" t="s">
        <v>14</v>
      </c>
      <c r="B12" s="16">
        <v>0</v>
      </c>
      <c r="C12" s="17" t="s">
        <v>9</v>
      </c>
      <c r="D12" s="18">
        <v>0</v>
      </c>
      <c r="E12" s="19" t="s">
        <v>9</v>
      </c>
      <c r="F12" s="16">
        <v>0</v>
      </c>
      <c r="G12" s="17" t="s">
        <v>9</v>
      </c>
      <c r="H12" s="18">
        <v>0</v>
      </c>
      <c r="I12" s="19" t="s">
        <v>9</v>
      </c>
      <c r="J12" s="32">
        <v>0</v>
      </c>
      <c r="K12" s="42" t="s">
        <v>9</v>
      </c>
      <c r="L12" s="42">
        <v>0</v>
      </c>
      <c r="M12" s="42" t="s">
        <v>9</v>
      </c>
      <c r="N12" s="16">
        <v>30725695</v>
      </c>
      <c r="O12" s="17">
        <v>4</v>
      </c>
      <c r="P12" s="18">
        <v>74.7</v>
      </c>
      <c r="Q12" s="20">
        <v>3.3</v>
      </c>
    </row>
    <row r="13" spans="1:17" ht="15" customHeight="1" x14ac:dyDescent="0.3">
      <c r="A13" s="15" t="s">
        <v>15</v>
      </c>
      <c r="B13" s="16">
        <v>0</v>
      </c>
      <c r="C13" s="17" t="s">
        <v>9</v>
      </c>
      <c r="D13" s="18">
        <v>0</v>
      </c>
      <c r="E13" s="19" t="s">
        <v>9</v>
      </c>
      <c r="F13" s="16">
        <v>0</v>
      </c>
      <c r="G13" s="17" t="s">
        <v>9</v>
      </c>
      <c r="H13" s="18">
        <v>0</v>
      </c>
      <c r="I13" s="19" t="s">
        <v>9</v>
      </c>
      <c r="J13" s="32">
        <v>0</v>
      </c>
      <c r="K13" s="42" t="s">
        <v>9</v>
      </c>
      <c r="L13" s="42">
        <v>0</v>
      </c>
      <c r="M13" s="42" t="s">
        <v>9</v>
      </c>
      <c r="N13" s="16">
        <v>25835420</v>
      </c>
      <c r="O13" s="17">
        <v>4.8</v>
      </c>
      <c r="P13" s="18">
        <v>79.900000000000006</v>
      </c>
      <c r="Q13" s="20">
        <v>4.3</v>
      </c>
    </row>
    <row r="14" spans="1:17" ht="15" customHeight="1" x14ac:dyDescent="0.3">
      <c r="A14" s="15" t="s">
        <v>16</v>
      </c>
      <c r="B14" s="16">
        <v>0</v>
      </c>
      <c r="C14" s="17" t="s">
        <v>9</v>
      </c>
      <c r="D14" s="18">
        <v>0</v>
      </c>
      <c r="E14" s="19" t="s">
        <v>9</v>
      </c>
      <c r="F14" s="16">
        <v>0</v>
      </c>
      <c r="G14" s="17" t="s">
        <v>9</v>
      </c>
      <c r="H14" s="18">
        <v>0</v>
      </c>
      <c r="I14" s="19" t="s">
        <v>9</v>
      </c>
      <c r="J14" s="32">
        <v>1521</v>
      </c>
      <c r="K14" s="42">
        <v>70.7</v>
      </c>
      <c r="L14" s="42">
        <v>2.1</v>
      </c>
      <c r="M14" s="42" t="s">
        <v>9</v>
      </c>
      <c r="N14" s="16">
        <v>18424200</v>
      </c>
      <c r="O14" s="17">
        <v>4.0999999999999996</v>
      </c>
      <c r="P14" s="18">
        <v>53.7</v>
      </c>
      <c r="Q14" s="20">
        <v>3.9</v>
      </c>
    </row>
    <row r="15" spans="1:17" ht="15" customHeight="1" x14ac:dyDescent="0.3">
      <c r="A15" s="15" t="s">
        <v>17</v>
      </c>
      <c r="B15" s="16">
        <v>0</v>
      </c>
      <c r="C15" s="17" t="s">
        <v>9</v>
      </c>
      <c r="D15" s="18">
        <v>0</v>
      </c>
      <c r="E15" s="17" t="s">
        <v>9</v>
      </c>
      <c r="F15" s="16">
        <v>0</v>
      </c>
      <c r="G15" s="17" t="s">
        <v>9</v>
      </c>
      <c r="H15" s="18">
        <v>0</v>
      </c>
      <c r="I15" s="19" t="s">
        <v>9</v>
      </c>
      <c r="J15" s="32">
        <v>0</v>
      </c>
      <c r="K15" s="42" t="s">
        <v>9</v>
      </c>
      <c r="L15" s="42">
        <v>0</v>
      </c>
      <c r="M15" s="42" t="s">
        <v>9</v>
      </c>
      <c r="N15" s="16">
        <v>31431271</v>
      </c>
      <c r="O15" s="17">
        <v>4</v>
      </c>
      <c r="P15" s="18">
        <v>54.3</v>
      </c>
      <c r="Q15" s="20">
        <v>3.6</v>
      </c>
    </row>
    <row r="16" spans="1:17" ht="15" customHeight="1" x14ac:dyDescent="0.3">
      <c r="A16" s="15" t="s">
        <v>18</v>
      </c>
      <c r="B16" s="16">
        <v>285331</v>
      </c>
      <c r="C16" s="33">
        <v>30.2</v>
      </c>
      <c r="D16" s="18">
        <v>46.5</v>
      </c>
      <c r="E16" s="33" t="s">
        <v>9</v>
      </c>
      <c r="F16" s="16">
        <v>20639</v>
      </c>
      <c r="G16" s="17">
        <v>62.7</v>
      </c>
      <c r="H16" s="18">
        <v>14.3</v>
      </c>
      <c r="I16" s="19" t="s">
        <v>9</v>
      </c>
      <c r="J16" s="32">
        <v>44312</v>
      </c>
      <c r="K16" s="42">
        <v>70.7</v>
      </c>
      <c r="L16" s="42">
        <v>61.3</v>
      </c>
      <c r="M16" s="42" t="s">
        <v>9</v>
      </c>
      <c r="N16" s="16">
        <v>57527526</v>
      </c>
      <c r="O16" s="17">
        <v>2.9</v>
      </c>
      <c r="P16" s="18">
        <v>55.9</v>
      </c>
      <c r="Q16" s="20">
        <v>2.6</v>
      </c>
    </row>
    <row r="17" spans="1:17" ht="15" customHeight="1" x14ac:dyDescent="0.3">
      <c r="A17" s="15" t="s">
        <v>19</v>
      </c>
      <c r="B17" s="16">
        <v>0</v>
      </c>
      <c r="C17" s="17" t="s">
        <v>9</v>
      </c>
      <c r="D17" s="18">
        <v>0</v>
      </c>
      <c r="E17" s="17" t="s">
        <v>9</v>
      </c>
      <c r="F17" s="16">
        <v>0</v>
      </c>
      <c r="G17" s="17" t="s">
        <v>9</v>
      </c>
      <c r="H17" s="18">
        <v>0</v>
      </c>
      <c r="I17" s="19" t="s">
        <v>9</v>
      </c>
      <c r="J17" s="32">
        <v>0</v>
      </c>
      <c r="K17" s="42" t="s">
        <v>9</v>
      </c>
      <c r="L17" s="42">
        <v>0</v>
      </c>
      <c r="M17" s="42" t="s">
        <v>9</v>
      </c>
      <c r="N17" s="16">
        <v>14901993</v>
      </c>
      <c r="O17" s="33">
        <v>4.8</v>
      </c>
      <c r="P17" s="18">
        <v>38.799999999999997</v>
      </c>
      <c r="Q17" s="35">
        <v>4.4000000000000004</v>
      </c>
    </row>
    <row r="18" spans="1:17" ht="15" customHeight="1" x14ac:dyDescent="0.3">
      <c r="A18" s="15" t="s">
        <v>20</v>
      </c>
      <c r="B18" s="16">
        <v>0</v>
      </c>
      <c r="C18" s="17" t="s">
        <v>9</v>
      </c>
      <c r="D18" s="18">
        <v>0</v>
      </c>
      <c r="E18" s="17" t="s">
        <v>9</v>
      </c>
      <c r="F18" s="16">
        <v>0</v>
      </c>
      <c r="G18" s="17" t="s">
        <v>9</v>
      </c>
      <c r="H18" s="18">
        <v>0</v>
      </c>
      <c r="I18" s="19" t="s">
        <v>9</v>
      </c>
      <c r="J18" s="32">
        <v>0</v>
      </c>
      <c r="K18" s="42" t="s">
        <v>9</v>
      </c>
      <c r="L18" s="42">
        <v>0</v>
      </c>
      <c r="M18" s="42" t="s">
        <v>9</v>
      </c>
      <c r="N18" s="16">
        <v>11584899</v>
      </c>
      <c r="O18" s="33">
        <v>5.7</v>
      </c>
      <c r="P18" s="18">
        <v>40.700000000000003</v>
      </c>
      <c r="Q18" s="35">
        <v>5.0999999999999996</v>
      </c>
    </row>
    <row r="19" spans="1:17" ht="15" customHeight="1" x14ac:dyDescent="0.3">
      <c r="A19" s="15" t="s">
        <v>21</v>
      </c>
      <c r="B19" s="16">
        <v>102982</v>
      </c>
      <c r="C19" s="33">
        <v>53.4</v>
      </c>
      <c r="D19" s="18">
        <v>39.9</v>
      </c>
      <c r="E19" s="33" t="s">
        <v>9</v>
      </c>
      <c r="F19" s="16">
        <v>43341</v>
      </c>
      <c r="G19" s="17">
        <v>91.8</v>
      </c>
      <c r="H19" s="18">
        <v>16.8</v>
      </c>
      <c r="I19" s="19" t="s">
        <v>9</v>
      </c>
      <c r="J19" s="32">
        <v>75047</v>
      </c>
      <c r="K19" s="42">
        <v>53</v>
      </c>
      <c r="L19" s="42">
        <v>56.2</v>
      </c>
      <c r="M19" s="42" t="s">
        <v>9</v>
      </c>
      <c r="N19" s="16">
        <v>29133317</v>
      </c>
      <c r="O19" s="33">
        <v>4.5999999999999996</v>
      </c>
      <c r="P19" s="18">
        <v>52.2</v>
      </c>
      <c r="Q19" s="35">
        <v>4.2</v>
      </c>
    </row>
    <row r="20" spans="1:17" ht="15" customHeight="1" x14ac:dyDescent="0.3">
      <c r="A20" s="15" t="s">
        <v>22</v>
      </c>
      <c r="B20" s="16">
        <v>0</v>
      </c>
      <c r="C20" s="17" t="s">
        <v>9</v>
      </c>
      <c r="D20" s="18">
        <v>0</v>
      </c>
      <c r="E20" s="17" t="s">
        <v>9</v>
      </c>
      <c r="F20" s="16">
        <v>30477</v>
      </c>
      <c r="G20" s="17">
        <v>100</v>
      </c>
      <c r="H20" s="18">
        <v>21.7</v>
      </c>
      <c r="I20" s="19" t="s">
        <v>9</v>
      </c>
      <c r="J20" s="32">
        <v>1690</v>
      </c>
      <c r="K20" s="42">
        <v>100</v>
      </c>
      <c r="L20" s="42">
        <v>4.7</v>
      </c>
      <c r="M20" s="42" t="s">
        <v>9</v>
      </c>
      <c r="N20" s="16">
        <v>24925479</v>
      </c>
      <c r="O20" s="17">
        <v>4.3</v>
      </c>
      <c r="P20" s="18">
        <v>61</v>
      </c>
      <c r="Q20" s="20">
        <v>3.9</v>
      </c>
    </row>
    <row r="21" spans="1:17" ht="15" customHeight="1" x14ac:dyDescent="0.3">
      <c r="A21" s="15" t="s">
        <v>23</v>
      </c>
      <c r="B21" s="16">
        <v>0</v>
      </c>
      <c r="C21" s="17" t="s">
        <v>9</v>
      </c>
      <c r="D21" s="18">
        <v>0</v>
      </c>
      <c r="E21" s="17" t="s">
        <v>9</v>
      </c>
      <c r="F21" s="16">
        <v>0</v>
      </c>
      <c r="G21" s="17" t="s">
        <v>9</v>
      </c>
      <c r="H21" s="18">
        <v>0</v>
      </c>
      <c r="I21" s="19" t="s">
        <v>9</v>
      </c>
      <c r="J21" s="32">
        <v>0</v>
      </c>
      <c r="K21" s="42" t="s">
        <v>9</v>
      </c>
      <c r="L21" s="42">
        <v>0</v>
      </c>
      <c r="M21" s="42" t="s">
        <v>9</v>
      </c>
      <c r="N21" s="16">
        <v>7957709</v>
      </c>
      <c r="O21" s="17">
        <v>7.5</v>
      </c>
      <c r="P21" s="18">
        <v>52.9</v>
      </c>
      <c r="Q21" s="20">
        <v>6.8</v>
      </c>
    </row>
    <row r="22" spans="1:17" ht="15" customHeight="1" x14ac:dyDescent="0.3">
      <c r="A22" s="15" t="s">
        <v>24</v>
      </c>
      <c r="B22" s="16">
        <v>27920</v>
      </c>
      <c r="C22" s="33">
        <v>100</v>
      </c>
      <c r="D22" s="18">
        <v>75.8</v>
      </c>
      <c r="E22" s="33" t="s">
        <v>9</v>
      </c>
      <c r="F22" s="16">
        <v>3116</v>
      </c>
      <c r="G22" s="17">
        <v>70.7</v>
      </c>
      <c r="H22" s="18">
        <v>4.2</v>
      </c>
      <c r="I22" s="19" t="s">
        <v>9</v>
      </c>
      <c r="J22" s="32">
        <v>22625</v>
      </c>
      <c r="K22" s="42">
        <v>100</v>
      </c>
      <c r="L22" s="42">
        <v>61.4</v>
      </c>
      <c r="M22" s="42" t="s">
        <v>9</v>
      </c>
      <c r="N22" s="16">
        <v>22194010</v>
      </c>
      <c r="O22" s="33">
        <v>5.6</v>
      </c>
      <c r="P22" s="18">
        <v>55.4</v>
      </c>
      <c r="Q22" s="35">
        <v>5.2</v>
      </c>
    </row>
    <row r="23" spans="1:17" ht="15" customHeight="1" x14ac:dyDescent="0.3">
      <c r="A23" s="15" t="s">
        <v>25</v>
      </c>
      <c r="B23" s="16">
        <v>0</v>
      </c>
      <c r="C23" s="17" t="s">
        <v>9</v>
      </c>
      <c r="D23" s="18">
        <v>0</v>
      </c>
      <c r="E23" s="17" t="s">
        <v>9</v>
      </c>
      <c r="F23" s="16">
        <v>136591</v>
      </c>
      <c r="G23" s="33">
        <v>33</v>
      </c>
      <c r="H23" s="18">
        <v>26.5</v>
      </c>
      <c r="I23" s="34" t="s">
        <v>9</v>
      </c>
      <c r="J23" s="48">
        <v>42255</v>
      </c>
      <c r="K23" s="43">
        <v>62.3</v>
      </c>
      <c r="L23" s="43">
        <v>37.5</v>
      </c>
      <c r="M23" s="43" t="s">
        <v>9</v>
      </c>
      <c r="N23" s="16">
        <v>6308507</v>
      </c>
      <c r="O23" s="33">
        <v>8.6</v>
      </c>
      <c r="P23" s="18">
        <v>44.3</v>
      </c>
      <c r="Q23" s="35">
        <v>7.4</v>
      </c>
    </row>
    <row r="24" spans="1:17" ht="15" customHeight="1" x14ac:dyDescent="0.3">
      <c r="A24" s="15" t="s">
        <v>26</v>
      </c>
      <c r="B24" s="16">
        <v>0</v>
      </c>
      <c r="C24" s="17" t="s">
        <v>9</v>
      </c>
      <c r="D24" s="18">
        <v>0</v>
      </c>
      <c r="E24" s="17" t="s">
        <v>9</v>
      </c>
      <c r="F24" s="16">
        <v>64445</v>
      </c>
      <c r="G24" s="17">
        <v>95.9</v>
      </c>
      <c r="H24" s="18">
        <v>34.6</v>
      </c>
      <c r="I24" s="19" t="s">
        <v>9</v>
      </c>
      <c r="J24" s="32">
        <v>16518</v>
      </c>
      <c r="K24" s="42">
        <v>100</v>
      </c>
      <c r="L24" s="42">
        <v>47.6</v>
      </c>
      <c r="M24" s="42" t="s">
        <v>9</v>
      </c>
      <c r="N24" s="16">
        <v>14000271</v>
      </c>
      <c r="O24" s="17">
        <v>6.3</v>
      </c>
      <c r="P24" s="18">
        <v>48.9</v>
      </c>
      <c r="Q24" s="20">
        <v>5.9</v>
      </c>
    </row>
    <row r="25" spans="1:17" ht="15" customHeight="1" x14ac:dyDescent="0.3">
      <c r="A25" s="15" t="s">
        <v>27</v>
      </c>
      <c r="B25" s="16">
        <v>297354</v>
      </c>
      <c r="C25" s="33">
        <v>42.2</v>
      </c>
      <c r="D25" s="18">
        <v>56.9</v>
      </c>
      <c r="E25" s="33" t="s">
        <v>9</v>
      </c>
      <c r="F25" s="16">
        <v>330950</v>
      </c>
      <c r="G25" s="33">
        <v>34.200000000000003</v>
      </c>
      <c r="H25" s="18">
        <v>15.7</v>
      </c>
      <c r="I25" s="34" t="s">
        <v>9</v>
      </c>
      <c r="J25" s="48">
        <v>104715</v>
      </c>
      <c r="K25" s="43">
        <v>40.799999999999997</v>
      </c>
      <c r="L25" s="43">
        <v>46.8</v>
      </c>
      <c r="M25" s="43" t="s">
        <v>9</v>
      </c>
      <c r="N25" s="16">
        <v>37479082</v>
      </c>
      <c r="O25" s="17">
        <v>5</v>
      </c>
      <c r="P25" s="18">
        <v>76.099999999999994</v>
      </c>
      <c r="Q25" s="20">
        <v>4.5999999999999996</v>
      </c>
    </row>
    <row r="26" spans="1:17" ht="15" customHeight="1" x14ac:dyDescent="0.3">
      <c r="A26" s="15" t="s">
        <v>28</v>
      </c>
      <c r="B26" s="16">
        <v>284432</v>
      </c>
      <c r="C26" s="33">
        <v>24.3</v>
      </c>
      <c r="D26" s="18">
        <v>16.5</v>
      </c>
      <c r="E26" s="33" t="s">
        <v>9</v>
      </c>
      <c r="F26" s="16">
        <v>881276</v>
      </c>
      <c r="G26" s="33">
        <v>16.600000000000001</v>
      </c>
      <c r="H26" s="18">
        <v>22.5</v>
      </c>
      <c r="I26" s="34" t="s">
        <v>9</v>
      </c>
      <c r="J26" s="48">
        <v>0</v>
      </c>
      <c r="K26" s="43" t="s">
        <v>9</v>
      </c>
      <c r="L26" s="43">
        <v>0</v>
      </c>
      <c r="M26" s="43" t="s">
        <v>9</v>
      </c>
      <c r="N26" s="16">
        <v>10691845</v>
      </c>
      <c r="O26" s="33">
        <v>6.3</v>
      </c>
      <c r="P26" s="18">
        <v>37.6</v>
      </c>
      <c r="Q26" s="35">
        <v>5.6</v>
      </c>
    </row>
    <row r="27" spans="1:17" ht="15" customHeight="1" thickBot="1" x14ac:dyDescent="0.35">
      <c r="A27" s="21" t="s">
        <v>29</v>
      </c>
      <c r="B27" s="22">
        <v>3955393</v>
      </c>
      <c r="C27" s="36">
        <v>8.9</v>
      </c>
      <c r="D27" s="37">
        <v>25.9</v>
      </c>
      <c r="E27" s="36" t="s">
        <v>9</v>
      </c>
      <c r="F27" s="22">
        <v>454760</v>
      </c>
      <c r="G27" s="36">
        <v>22.2</v>
      </c>
      <c r="H27" s="37">
        <v>12</v>
      </c>
      <c r="I27" s="38" t="s">
        <v>9</v>
      </c>
      <c r="J27" s="49">
        <v>781</v>
      </c>
      <c r="K27" s="44">
        <v>100</v>
      </c>
      <c r="L27" s="44">
        <v>2.1</v>
      </c>
      <c r="M27" s="44" t="s">
        <v>9</v>
      </c>
      <c r="N27" s="22">
        <v>17845610</v>
      </c>
      <c r="O27" s="36">
        <v>5.2</v>
      </c>
      <c r="P27" s="37">
        <v>29.7</v>
      </c>
      <c r="Q27" s="39">
        <v>4.9000000000000004</v>
      </c>
    </row>
    <row r="28" spans="1:17" ht="15" customHeight="1" thickBot="1" x14ac:dyDescent="0.35">
      <c r="A28" s="23" t="s">
        <v>30</v>
      </c>
      <c r="B28" s="24">
        <v>4953412</v>
      </c>
      <c r="C28" s="25">
        <v>7.9</v>
      </c>
      <c r="D28" s="26">
        <v>26.9</v>
      </c>
      <c r="E28" s="27">
        <v>6.7</v>
      </c>
      <c r="F28" s="24">
        <v>2024081</v>
      </c>
      <c r="G28" s="25">
        <v>11.5</v>
      </c>
      <c r="H28" s="26">
        <v>17.8</v>
      </c>
      <c r="I28" s="27">
        <v>9.9</v>
      </c>
      <c r="J28" s="24">
        <v>348586</v>
      </c>
      <c r="K28" s="45">
        <v>22.9</v>
      </c>
      <c r="L28" s="45">
        <v>34.6</v>
      </c>
      <c r="M28" s="45">
        <v>12.7</v>
      </c>
      <c r="N28" s="28">
        <v>519365662</v>
      </c>
      <c r="O28" s="25">
        <v>1</v>
      </c>
      <c r="P28" s="26">
        <v>58</v>
      </c>
      <c r="Q28" s="29">
        <v>0.9</v>
      </c>
    </row>
    <row r="30" spans="1:17" ht="15" customHeight="1" x14ac:dyDescent="0.3">
      <c r="A30" t="s">
        <v>73</v>
      </c>
    </row>
    <row r="31" spans="1:17" ht="15" customHeight="1" x14ac:dyDescent="0.3">
      <c r="A31" t="s">
        <v>74</v>
      </c>
    </row>
  </sheetData>
  <mergeCells count="10">
    <mergeCell ref="A1:Q1"/>
    <mergeCell ref="A3:A6"/>
    <mergeCell ref="B3:E3"/>
    <mergeCell ref="F3:I3"/>
    <mergeCell ref="N3:Q3"/>
    <mergeCell ref="J3:M3"/>
    <mergeCell ref="B4:E4"/>
    <mergeCell ref="F4:I4"/>
    <mergeCell ref="J4:M4"/>
    <mergeCell ref="N4:Q4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77" orientation="landscape" horizontalDpi="360" verticalDpi="360" r:id="rId1"/>
  <headerFooter alignWithMargins="0">
    <oddHeader>&amp;CNational Inventory of Forests and Forest Carbon Pools - Inventario Nazionale delle Foreste e dei serbatoi forestali di Carbonio
INFC2015</oddHeader>
    <oddFooter>&amp;CArma dei Carabinieri - Consiglio per la ricerca in agricoltura e l'analisi dell'economia agraria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CC9E2C073C3F4C812A5E526F3FEA55" ma:contentTypeVersion="13" ma:contentTypeDescription="Creare un nuovo documento." ma:contentTypeScope="" ma:versionID="0e99761b01a78e4d3139acaf02464199">
  <xsd:schema xmlns:xsd="http://www.w3.org/2001/XMLSchema" xmlns:xs="http://www.w3.org/2001/XMLSchema" xmlns:p="http://schemas.microsoft.com/office/2006/metadata/properties" xmlns:ns3="db74c5cb-3b3f-41fe-b4e9-5cdfcfe4d908" xmlns:ns4="c89df9c4-d520-4044-b0b2-96c16863b82d" targetNamespace="http://schemas.microsoft.com/office/2006/metadata/properties" ma:root="true" ma:fieldsID="801a0310624f15f8f04c7521c0001bd0" ns3:_="" ns4:_="">
    <xsd:import namespace="db74c5cb-3b3f-41fe-b4e9-5cdfcfe4d908"/>
    <xsd:import namespace="c89df9c4-d520-4044-b0b2-96c16863b82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4c5cb-3b3f-41fe-b4e9-5cdfcfe4d90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9df9c4-d520-4044-b0b2-96c16863b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E6263C-7CC8-46A2-9AC0-386F2D771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74c5cb-3b3f-41fe-b4e9-5cdfcfe4d908"/>
    <ds:schemaRef ds:uri="c89df9c4-d520-4044-b0b2-96c16863b8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84E466-916E-4A10-8F52-E7AC67FD47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59E0F5-D7FE-44C7-9925-C3DC120F3D3D}">
  <ds:schemaRefs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c89df9c4-d520-4044-b0b2-96c16863b82d"/>
    <ds:schemaRef ds:uri="db74c5cb-3b3f-41fe-b4e9-5cdfcfe4d90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Summary</vt:lpstr>
      <vt:lpstr>avg_effis_classes</vt:lpstr>
      <vt:lpstr>2015_1di6</vt:lpstr>
      <vt:lpstr>2015_2di6</vt:lpstr>
      <vt:lpstr>2015_3di6</vt:lpstr>
      <vt:lpstr>2015_4di6</vt:lpstr>
      <vt:lpstr>2015_5di6</vt:lpstr>
      <vt:lpstr>2015_6di6</vt:lpstr>
      <vt:lpstr>'2015_1di6'!Print_Area</vt:lpstr>
      <vt:lpstr>'2015_2di6'!Print_Area</vt:lpstr>
      <vt:lpstr>'2015_3di6'!Print_Area</vt:lpstr>
      <vt:lpstr>'2015_4di6'!Print_Area</vt:lpstr>
      <vt:lpstr>'2015_5di6'!Print_Area</vt:lpstr>
      <vt:lpstr>'2015_6di6'!Print_Area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Chiara Iaquino</cp:lastModifiedBy>
  <cp:revision/>
  <cp:lastPrinted>2022-04-12T14:22:52Z</cp:lastPrinted>
  <dcterms:created xsi:type="dcterms:W3CDTF">2007-11-09T09:24:50Z</dcterms:created>
  <dcterms:modified xsi:type="dcterms:W3CDTF">2023-12-13T10:27:10Z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0x01010083CC9E2C073C3F4C812A5E526F3FEA55</vt:lpwstr>
  </property>
</Properties>
</file>